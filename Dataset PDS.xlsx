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5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6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0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3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4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7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8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1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2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5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6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9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40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8340"/>
  </bookViews>
  <sheets>
    <sheet name="2022-2026" sheetId="3" r:id="rId1"/>
    <sheet name="Akuntansi" sheetId="4" r:id="rId2"/>
    <sheet name="Hukum" sheetId="5" r:id="rId3"/>
    <sheet name="Ilkom" sheetId="6" r:id="rId4"/>
    <sheet name="Infor" sheetId="7" r:id="rId5"/>
    <sheet name="Manajemen" sheetId="8" r:id="rId6"/>
    <sheet name="Psi" sheetId="9" r:id="rId7"/>
    <sheet name="SI" sheetId="10" r:id="rId8"/>
    <sheet name="TEKIN" sheetId="11" r:id="rId9"/>
    <sheet name="TEKMES" sheetId="12" r:id="rId10"/>
    <sheet name="TEKSIP" sheetId="13" r:id="rId11"/>
  </sheets>
  <calcPr calcId="152511"/>
</workbook>
</file>

<file path=xl/calcChain.xml><?xml version="1.0" encoding="utf-8"?>
<calcChain xmlns="http://schemas.openxmlformats.org/spreadsheetml/2006/main">
  <c r="K8" i="3" l="1"/>
  <c r="K7" i="3"/>
  <c r="K6" i="3"/>
  <c r="K5" i="3"/>
  <c r="K4" i="3"/>
</calcChain>
</file>

<file path=xl/sharedStrings.xml><?xml version="1.0" encoding="utf-8"?>
<sst xmlns="http://schemas.openxmlformats.org/spreadsheetml/2006/main" count="201" uniqueCount="19">
  <si>
    <t>DATA MAHASISWA UNIVERSITAS X</t>
  </si>
  <si>
    <t>No</t>
  </si>
  <si>
    <t>Tahun</t>
  </si>
  <si>
    <t>Program Studi</t>
  </si>
  <si>
    <t>Jumlah Pendaftar</t>
  </si>
  <si>
    <t>Daya Tampung</t>
  </si>
  <si>
    <t>Jumlah Diterima</t>
  </si>
  <si>
    <t>Jumlah Daftar Ulang</t>
  </si>
  <si>
    <t>Jumlah Mahasiswa Baru</t>
  </si>
  <si>
    <t>Informatika</t>
  </si>
  <si>
    <t>Sistem Informasi</t>
  </si>
  <si>
    <t>Teknik Industri</t>
  </si>
  <si>
    <t>Manajemen</t>
  </si>
  <si>
    <t>Akuntansi</t>
  </si>
  <si>
    <t>Ilmu Komunikasi</t>
  </si>
  <si>
    <t>Hukum</t>
  </si>
  <si>
    <t>Psikologi</t>
  </si>
  <si>
    <t>Teknik Sipil</t>
  </si>
  <si>
    <t>Teknik 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</si>
</sst>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3"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Jumlah Mahasiswa</a:t>
            </a:r>
            <a:r>
              <a:rPr lang="en-US" baseline="0"/>
              <a:t> (Tahun)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'2022-2026'!$K$4:$K$8</c:f>
              <c:numCache>
                <c:formatCode>0</c:formatCode>
                <c:ptCount val="5"/>
                <c:pt idx="0">
                  <c:v>1534</c:v>
                </c:pt>
                <c:pt idx="1">
                  <c:v>1501</c:v>
                </c:pt>
                <c:pt idx="2">
                  <c:v>1616</c:v>
                </c:pt>
                <c:pt idx="3">
                  <c:v>1621</c:v>
                </c:pt>
                <c:pt idx="4">
                  <c:v>1715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19952"/>
        <c:axId val="89824848"/>
      </c:barChart>
      <c:catAx>
        <c:axId val="898199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89824848"/>
        <c:crosses val="autoZero"/>
        <c:auto val="1"/>
        <c:lblAlgn val="ctr"/>
        <c:lblOffset val="100"/>
        <c:noMultiLvlLbl val="0"/>
      </c:catAx>
      <c:valAx>
        <c:axId val="898248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Mahasiswa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8981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Akuntansi!$D$4:$D$8</c:f>
              <c:numCache>
                <c:formatCode>0</c:formatCode>
                <c:ptCount val="5"/>
                <c:pt idx="0">
                  <c:v>510</c:v>
                </c:pt>
                <c:pt idx="1">
                  <c:v>530</c:v>
                </c:pt>
                <c:pt idx="2">
                  <c:v>600</c:v>
                </c:pt>
                <c:pt idx="3">
                  <c:v>650</c:v>
                </c:pt>
                <c:pt idx="4">
                  <c:v>720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293408"/>
        <c:axId val="237754528"/>
      </c:barChart>
      <c:catAx>
        <c:axId val="6829340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7754528"/>
        <c:crosses val="autoZero"/>
        <c:auto val="1"/>
        <c:lblAlgn val="ctr"/>
        <c:lblOffset val="100"/>
        <c:noMultiLvlLbl val="0"/>
      </c:catAx>
      <c:valAx>
        <c:axId val="2377545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6829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Akuntansi!$E$3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Akuntansi!$E$4:$E$8</c:f>
              <c:numCache>
                <c:formatCode>0</c:formatCode>
                <c:ptCount val="5"/>
                <c:pt idx="0">
                  <c:v>190</c:v>
                </c:pt>
                <c:pt idx="1">
                  <c:v>190</c:v>
                </c:pt>
                <c:pt idx="2">
                  <c:v>200</c:v>
                </c:pt>
                <c:pt idx="3">
                  <c:v>200</c:v>
                </c:pt>
                <c:pt idx="4">
                  <c:v>210</c:v>
                </c:pt>
              </c:numCache>
            </c:numRef>
          </c:val>
        </c:ser>
        <c:ser>
          <c:idx val="1"/>
          <c:order val="1"/>
          <c:tx>
            <c:strRef>
              <c:f>Akuntansi!$F$3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Akuntansi!$F$4:$F$8</c:f>
              <c:numCache>
                <c:formatCode>0</c:formatCode>
                <c:ptCount val="5"/>
                <c:pt idx="0">
                  <c:v>190</c:v>
                </c:pt>
                <c:pt idx="1">
                  <c:v>190</c:v>
                </c:pt>
                <c:pt idx="2">
                  <c:v>200</c:v>
                </c:pt>
                <c:pt idx="3">
                  <c:v>200</c:v>
                </c:pt>
                <c:pt idx="4">
                  <c:v>210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7752352"/>
        <c:axId val="237762144"/>
      </c:barChart>
      <c:catAx>
        <c:axId val="2377523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7762144"/>
        <c:crosses val="autoZero"/>
        <c:auto val="1"/>
        <c:lblAlgn val="ctr"/>
        <c:lblOffset val="100"/>
        <c:noMultiLvlLbl val="0"/>
      </c:catAx>
      <c:valAx>
        <c:axId val="2377621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775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Akuntansi!$G$3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Akuntansi!$G$4:$G$8</c:f>
              <c:numCache>
                <c:formatCode>0</c:formatCode>
                <c:ptCount val="5"/>
                <c:pt idx="0">
                  <c:v>185</c:v>
                </c:pt>
                <c:pt idx="1">
                  <c:v>184</c:v>
                </c:pt>
                <c:pt idx="2">
                  <c:v>192</c:v>
                </c:pt>
                <c:pt idx="3">
                  <c:v>188</c:v>
                </c:pt>
                <c:pt idx="4">
                  <c:v>202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7763232"/>
        <c:axId val="237765952"/>
      </c:barChart>
      <c:lineChart>
        <c:grouping val="standard"/>
        <c:varyColors val="0"/>
        <c:ser>
          <c:idx val="1"/>
          <c:order val="1"/>
          <c:tx>
            <c:strRef>
              <c:f>Akuntansi!$H$3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Akuntansi!$H$4:$H$8</c:f>
              <c:numCache>
                <c:formatCode>0</c:formatCode>
                <c:ptCount val="5"/>
                <c:pt idx="0">
                  <c:v>181</c:v>
                </c:pt>
                <c:pt idx="1">
                  <c:v>180</c:v>
                </c:pt>
                <c:pt idx="2">
                  <c:v>188</c:v>
                </c:pt>
                <c:pt idx="3">
                  <c:v>184</c:v>
                </c:pt>
                <c:pt idx="4">
                  <c:v>198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7763232"/>
        <c:axId val="237765952"/>
      </c:lineChart>
      <c:catAx>
        <c:axId val="2377632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7765952"/>
        <c:crosses val="autoZero"/>
        <c:auto val="1"/>
        <c:lblAlgn val="ctr"/>
        <c:lblOffset val="100"/>
        <c:noMultiLvlLbl val="0"/>
      </c:catAx>
      <c:valAx>
        <c:axId val="237765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77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Hukum!$D$4:$D$8</c:f>
              <c:numCache>
                <c:formatCode>0</c:formatCode>
                <c:ptCount val="5"/>
                <c:pt idx="0">
                  <c:v>630</c:v>
                </c:pt>
                <c:pt idx="1">
                  <c:v>665</c:v>
                </c:pt>
                <c:pt idx="2">
                  <c:v>735</c:v>
                </c:pt>
                <c:pt idx="3">
                  <c:v>790</c:v>
                </c:pt>
                <c:pt idx="4">
                  <c:v>875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7764320"/>
        <c:axId val="237759968"/>
      </c:barChart>
      <c:catAx>
        <c:axId val="23776432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7759968"/>
        <c:crosses val="autoZero"/>
        <c:auto val="1"/>
        <c:lblAlgn val="ctr"/>
        <c:lblOffset val="100"/>
        <c:noMultiLvlLbl val="0"/>
      </c:catAx>
      <c:valAx>
        <c:axId val="2377599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776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Hukum!$E$3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Hukum!$E$4:$E$8</c:f>
              <c:numCache>
                <c:formatCode>0</c:formatCode>
                <c:ptCount val="5"/>
                <c:pt idx="0">
                  <c:v>230</c:v>
                </c:pt>
                <c:pt idx="1">
                  <c:v>230</c:v>
                </c:pt>
                <c:pt idx="2">
                  <c:v>240</c:v>
                </c:pt>
                <c:pt idx="3">
                  <c:v>245</c:v>
                </c:pt>
                <c:pt idx="4">
                  <c:v>255</c:v>
                </c:pt>
              </c:numCache>
            </c:numRef>
          </c:val>
        </c:ser>
        <c:ser>
          <c:idx val="1"/>
          <c:order val="1"/>
          <c:tx>
            <c:strRef>
              <c:f>Hukum!$F$3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Hukum!$F$4:$F$8</c:f>
              <c:numCache>
                <c:formatCode>0</c:formatCode>
                <c:ptCount val="5"/>
                <c:pt idx="0">
                  <c:v>230</c:v>
                </c:pt>
                <c:pt idx="1">
                  <c:v>230</c:v>
                </c:pt>
                <c:pt idx="2">
                  <c:v>240</c:v>
                </c:pt>
                <c:pt idx="3">
                  <c:v>245</c:v>
                </c:pt>
                <c:pt idx="4">
                  <c:v>255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7753440"/>
        <c:axId val="237753984"/>
      </c:barChart>
      <c:catAx>
        <c:axId val="2377534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7753984"/>
        <c:crosses val="autoZero"/>
        <c:auto val="1"/>
        <c:lblAlgn val="ctr"/>
        <c:lblOffset val="100"/>
        <c:noMultiLvlLbl val="0"/>
      </c:catAx>
      <c:valAx>
        <c:axId val="237753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77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Hukum!$G$3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Hukum!$G$4:$G$8</c:f>
              <c:numCache>
                <c:formatCode>0</c:formatCode>
                <c:ptCount val="5"/>
                <c:pt idx="0">
                  <c:v>224</c:v>
                </c:pt>
                <c:pt idx="1">
                  <c:v>218</c:v>
                </c:pt>
                <c:pt idx="2">
                  <c:v>231</c:v>
                </c:pt>
                <c:pt idx="3">
                  <c:v>234</c:v>
                </c:pt>
                <c:pt idx="4">
                  <c:v>245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7757248"/>
        <c:axId val="237752896"/>
      </c:barChart>
      <c:lineChart>
        <c:grouping val="standard"/>
        <c:varyColors val="0"/>
        <c:ser>
          <c:idx val="1"/>
          <c:order val="1"/>
          <c:tx>
            <c:strRef>
              <c:f>Hukum!$H$3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Hukum!$H$4:$H$8</c:f>
              <c:numCache>
                <c:formatCode>0</c:formatCode>
                <c:ptCount val="5"/>
                <c:pt idx="0">
                  <c:v>219</c:v>
                </c:pt>
                <c:pt idx="1">
                  <c:v>213</c:v>
                </c:pt>
                <c:pt idx="2">
                  <c:v>226</c:v>
                </c:pt>
                <c:pt idx="3">
                  <c:v>229</c:v>
                </c:pt>
                <c:pt idx="4">
                  <c:v>240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7757248"/>
        <c:axId val="237752896"/>
      </c:lineChart>
      <c:catAx>
        <c:axId val="2377572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7752896"/>
        <c:crosses val="autoZero"/>
        <c:auto val="1"/>
        <c:lblAlgn val="ctr"/>
        <c:lblOffset val="100"/>
        <c:noMultiLvlLbl val="0"/>
      </c:catAx>
      <c:valAx>
        <c:axId val="2377528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775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Ilkom!$D$4:$D$8</c:f>
              <c:numCache>
                <c:formatCode>0</c:formatCode>
                <c:ptCount val="5"/>
                <c:pt idx="0">
                  <c:v>395</c:v>
                </c:pt>
                <c:pt idx="1">
                  <c:v>420</c:v>
                </c:pt>
                <c:pt idx="2">
                  <c:v>470</c:v>
                </c:pt>
                <c:pt idx="3">
                  <c:v>515</c:v>
                </c:pt>
                <c:pt idx="4">
                  <c:v>560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7757792"/>
        <c:axId val="237760512"/>
      </c:barChart>
      <c:catAx>
        <c:axId val="23775779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7760512"/>
        <c:crosses val="autoZero"/>
        <c:auto val="1"/>
        <c:lblAlgn val="ctr"/>
        <c:lblOffset val="100"/>
        <c:noMultiLvlLbl val="0"/>
      </c:catAx>
      <c:valAx>
        <c:axId val="237760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775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Ilkom!$E$3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Ilkom!$E$4:$E$8</c:f>
              <c:numCache>
                <c:formatCode>0</c:formatCode>
                <c:ptCount val="5"/>
                <c:pt idx="0">
                  <c:v>140</c:v>
                </c:pt>
                <c:pt idx="1">
                  <c:v>140</c:v>
                </c:pt>
                <c:pt idx="2">
                  <c:v>150</c:v>
                </c:pt>
                <c:pt idx="3">
                  <c:v>150</c:v>
                </c:pt>
                <c:pt idx="4">
                  <c:v>160</c:v>
                </c:pt>
              </c:numCache>
            </c:numRef>
          </c:val>
        </c:ser>
        <c:ser>
          <c:idx val="1"/>
          <c:order val="1"/>
          <c:tx>
            <c:strRef>
              <c:f>Ilkom!$F$3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Ilkom!$F$4:$F$8</c:f>
              <c:numCache>
                <c:formatCode>0</c:formatCode>
                <c:ptCount val="5"/>
                <c:pt idx="0">
                  <c:v>140</c:v>
                </c:pt>
                <c:pt idx="1">
                  <c:v>140</c:v>
                </c:pt>
                <c:pt idx="2">
                  <c:v>150</c:v>
                </c:pt>
                <c:pt idx="3">
                  <c:v>150</c:v>
                </c:pt>
                <c:pt idx="4">
                  <c:v>160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7758336"/>
        <c:axId val="237758880"/>
      </c:barChart>
      <c:catAx>
        <c:axId val="23775833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7758880"/>
        <c:crosses val="autoZero"/>
        <c:auto val="1"/>
        <c:lblAlgn val="ctr"/>
        <c:lblOffset val="100"/>
        <c:noMultiLvlLbl val="0"/>
      </c:catAx>
      <c:valAx>
        <c:axId val="2377588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775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Ilkom!$G$3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Ilkom!$G$4:$G$8</c:f>
              <c:numCache>
                <c:formatCode>0</c:formatCode>
                <c:ptCount val="5"/>
                <c:pt idx="0">
                  <c:v>136</c:v>
                </c:pt>
                <c:pt idx="1">
                  <c:v>132</c:v>
                </c:pt>
                <c:pt idx="2">
                  <c:v>143</c:v>
                </c:pt>
                <c:pt idx="3">
                  <c:v>145</c:v>
                </c:pt>
                <c:pt idx="4">
                  <c:v>153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9169152"/>
        <c:axId val="239163168"/>
      </c:barChart>
      <c:lineChart>
        <c:grouping val="standard"/>
        <c:varyColors val="0"/>
        <c:ser>
          <c:idx val="1"/>
          <c:order val="1"/>
          <c:tx>
            <c:strRef>
              <c:f>Ilkom!$H$3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Ilkom!$H$4:$H$8</c:f>
              <c:numCache>
                <c:formatCode>0</c:formatCode>
                <c:ptCount val="5"/>
                <c:pt idx="0">
                  <c:v>133</c:v>
                </c:pt>
                <c:pt idx="1">
                  <c:v>129</c:v>
                </c:pt>
                <c:pt idx="2">
                  <c:v>140</c:v>
                </c:pt>
                <c:pt idx="3">
                  <c:v>141</c:v>
                </c:pt>
                <c:pt idx="4">
                  <c:v>149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9169152"/>
        <c:axId val="239163168"/>
      </c:lineChart>
      <c:catAx>
        <c:axId val="2391691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9163168"/>
        <c:crosses val="autoZero"/>
        <c:auto val="1"/>
        <c:lblAlgn val="ctr"/>
        <c:lblOffset val="100"/>
        <c:noMultiLvlLbl val="0"/>
      </c:catAx>
      <c:valAx>
        <c:axId val="2391631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916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Infor!$D$4:$D$8</c:f>
              <c:numCache>
                <c:formatCode>0</c:formatCode>
                <c:ptCount val="5"/>
                <c:pt idx="0">
                  <c:v>470</c:v>
                </c:pt>
                <c:pt idx="1">
                  <c:v>445</c:v>
                </c:pt>
                <c:pt idx="2">
                  <c:v>590</c:v>
                </c:pt>
                <c:pt idx="3">
                  <c:v>555</c:v>
                </c:pt>
                <c:pt idx="4">
                  <c:v>720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9160448"/>
        <c:axId val="239159360"/>
      </c:barChart>
      <c:catAx>
        <c:axId val="2391604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9159360"/>
        <c:crosses val="autoZero"/>
        <c:auto val="1"/>
        <c:lblAlgn val="ctr"/>
        <c:lblOffset val="100"/>
        <c:noMultiLvlLbl val="0"/>
      </c:catAx>
      <c:valAx>
        <c:axId val="2391593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916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Infor!$E$4:$E$8</c:f>
              <c:numCache>
                <c:formatCode>0</c:formatCode>
                <c:ptCount val="5"/>
                <c:pt idx="0">
                  <c:v>160</c:v>
                </c:pt>
                <c:pt idx="1">
                  <c:v>160</c:v>
                </c:pt>
                <c:pt idx="2">
                  <c:v>175</c:v>
                </c:pt>
                <c:pt idx="3">
                  <c:v>175</c:v>
                </c:pt>
                <c:pt idx="4">
                  <c:v>190</c:v>
                </c:pt>
              </c:numCache>
            </c:numRef>
          </c:val>
        </c:ser>
        <c:ser>
          <c:idx val="1"/>
          <c:order val="1"/>
          <c:tx>
            <c:strRef>
              <c:f>Infor!$F$3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Infor!$F$4:$F$8</c:f>
              <c:numCache>
                <c:formatCode>0</c:formatCode>
                <c:ptCount val="5"/>
                <c:pt idx="0">
                  <c:v>160</c:v>
                </c:pt>
                <c:pt idx="1">
                  <c:v>160</c:v>
                </c:pt>
                <c:pt idx="2">
                  <c:v>175</c:v>
                </c:pt>
                <c:pt idx="3">
                  <c:v>175</c:v>
                </c:pt>
                <c:pt idx="4">
                  <c:v>190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9158272"/>
        <c:axId val="239157184"/>
      </c:barChart>
      <c:catAx>
        <c:axId val="2391582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9157184"/>
        <c:crosses val="autoZero"/>
        <c:auto val="1"/>
        <c:lblAlgn val="ctr"/>
        <c:lblOffset val="100"/>
        <c:noMultiLvlLbl val="0"/>
      </c:catAx>
      <c:valAx>
        <c:axId val="239157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91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Infor!$G$4:$G$8</c:f>
              <c:numCache>
                <c:formatCode>0</c:formatCode>
                <c:ptCount val="5"/>
                <c:pt idx="0">
                  <c:v>156</c:v>
                </c:pt>
                <c:pt idx="1">
                  <c:v>151</c:v>
                </c:pt>
                <c:pt idx="2">
                  <c:v>168</c:v>
                </c:pt>
                <c:pt idx="3">
                  <c:v>163</c:v>
                </c:pt>
                <c:pt idx="4">
                  <c:v>181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9155552"/>
        <c:axId val="239170784"/>
      </c:barChart>
      <c:lineChart>
        <c:grouping val="standard"/>
        <c:varyColors val="0"/>
        <c:ser>
          <c:idx val="1"/>
          <c:order val="1"/>
          <c:tx>
            <c:strRef>
              <c:f>Infor!$H$3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Infor!$H$4:$H$8</c:f>
              <c:numCache>
                <c:formatCode>0</c:formatCode>
                <c:ptCount val="5"/>
                <c:pt idx="0">
                  <c:v>153</c:v>
                </c:pt>
                <c:pt idx="1">
                  <c:v>148</c:v>
                </c:pt>
                <c:pt idx="2">
                  <c:v>165</c:v>
                </c:pt>
                <c:pt idx="3">
                  <c:v>160</c:v>
                </c:pt>
                <c:pt idx="4">
                  <c:v>178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9155552"/>
        <c:axId val="239170784"/>
      </c:lineChart>
      <c:catAx>
        <c:axId val="2391555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9170784"/>
        <c:crosses val="autoZero"/>
        <c:auto val="1"/>
        <c:lblAlgn val="ctr"/>
        <c:lblOffset val="100"/>
        <c:noMultiLvlLbl val="0"/>
      </c:catAx>
      <c:valAx>
        <c:axId val="239170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91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Manajemen!$D$4:$D$8</c:f>
              <c:numCache>
                <c:formatCode>0</c:formatCode>
                <c:ptCount val="5"/>
                <c:pt idx="0">
                  <c:v>570</c:v>
                </c:pt>
                <c:pt idx="1">
                  <c:v>545</c:v>
                </c:pt>
                <c:pt idx="2">
                  <c:v>675</c:v>
                </c:pt>
                <c:pt idx="3">
                  <c:v>720</c:v>
                </c:pt>
                <c:pt idx="4">
                  <c:v>780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9162624"/>
        <c:axId val="239156640"/>
      </c:barChart>
      <c:catAx>
        <c:axId val="2391626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9156640"/>
        <c:crosses val="autoZero"/>
        <c:auto val="1"/>
        <c:lblAlgn val="ctr"/>
        <c:lblOffset val="100"/>
        <c:noMultiLvlLbl val="0"/>
      </c:catAx>
      <c:valAx>
        <c:axId val="239156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916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Manajemen!$E$3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Manajemen!$E$4:$E$8</c:f>
              <c:numCache>
                <c:formatCode>0</c:formatCode>
                <c:ptCount val="5"/>
                <c:pt idx="0">
                  <c:v>210</c:v>
                </c:pt>
                <c:pt idx="1">
                  <c:v>210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</c:numCache>
            </c:numRef>
          </c:val>
        </c:ser>
        <c:ser>
          <c:idx val="1"/>
          <c:order val="1"/>
          <c:tx>
            <c:strRef>
              <c:f>Manajemen!$F$3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Manajemen!$F$4:$F$8</c:f>
              <c:numCache>
                <c:formatCode>0</c:formatCode>
                <c:ptCount val="5"/>
                <c:pt idx="0">
                  <c:v>210</c:v>
                </c:pt>
                <c:pt idx="1">
                  <c:v>210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9167520"/>
        <c:axId val="239165344"/>
      </c:barChart>
      <c:catAx>
        <c:axId val="23916752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9165344"/>
        <c:crosses val="autoZero"/>
        <c:auto val="1"/>
        <c:lblAlgn val="ctr"/>
        <c:lblOffset val="100"/>
        <c:noMultiLvlLbl val="0"/>
      </c:catAx>
      <c:valAx>
        <c:axId val="2391653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916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Manajemen!$G$3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Manajemen!$G$4:$G$8</c:f>
              <c:numCache>
                <c:formatCode>0</c:formatCode>
                <c:ptCount val="5"/>
                <c:pt idx="0">
                  <c:v>204</c:v>
                </c:pt>
                <c:pt idx="1">
                  <c:v>199</c:v>
                </c:pt>
                <c:pt idx="2">
                  <c:v>211</c:v>
                </c:pt>
                <c:pt idx="3">
                  <c:v>216</c:v>
                </c:pt>
                <c:pt idx="4">
                  <c:v>221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9170240"/>
        <c:axId val="239168064"/>
      </c:barChart>
      <c:lineChart>
        <c:grouping val="standard"/>
        <c:varyColors val="0"/>
        <c:ser>
          <c:idx val="1"/>
          <c:order val="1"/>
          <c:tx>
            <c:strRef>
              <c:f>Manajemen!$H$3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Manajemen!$H$4:$H$8</c:f>
              <c:numCache>
                <c:formatCode>0</c:formatCode>
                <c:ptCount val="5"/>
                <c:pt idx="0">
                  <c:v>200</c:v>
                </c:pt>
                <c:pt idx="1">
                  <c:v>195</c:v>
                </c:pt>
                <c:pt idx="2">
                  <c:v>207</c:v>
                </c:pt>
                <c:pt idx="3">
                  <c:v>212</c:v>
                </c:pt>
                <c:pt idx="4">
                  <c:v>216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9170240"/>
        <c:axId val="239168064"/>
      </c:lineChart>
      <c:catAx>
        <c:axId val="2391702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39168064"/>
        <c:crosses val="autoZero"/>
        <c:auto val="1"/>
        <c:lblAlgn val="ctr"/>
        <c:lblOffset val="100"/>
        <c:noMultiLvlLbl val="0"/>
      </c:catAx>
      <c:valAx>
        <c:axId val="239168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3917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Psi!$D$4:$D$8</c:f>
              <c:numCache>
                <c:formatCode>0</c:formatCode>
                <c:ptCount val="5"/>
                <c:pt idx="0">
                  <c:v>540</c:v>
                </c:pt>
                <c:pt idx="1">
                  <c:v>565</c:v>
                </c:pt>
                <c:pt idx="2">
                  <c:v>625</c:v>
                </c:pt>
                <c:pt idx="3">
                  <c:v>690</c:v>
                </c:pt>
                <c:pt idx="4">
                  <c:v>750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275536"/>
        <c:axId val="240278256"/>
      </c:barChart>
      <c:catAx>
        <c:axId val="24027553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278256"/>
        <c:crosses val="autoZero"/>
        <c:auto val="1"/>
        <c:lblAlgn val="ctr"/>
        <c:lblOffset val="100"/>
        <c:noMultiLvlLbl val="0"/>
      </c:catAx>
      <c:valAx>
        <c:axId val="2402782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27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Psi!$E$3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Psi!$E$4:$E$8</c:f>
              <c:numCache>
                <c:formatCode>0</c:formatCode>
                <c:ptCount val="5"/>
                <c:pt idx="0">
                  <c:v>190</c:v>
                </c:pt>
                <c:pt idx="1">
                  <c:v>190</c:v>
                </c:pt>
                <c:pt idx="2">
                  <c:v>200</c:v>
                </c:pt>
                <c:pt idx="3">
                  <c:v>205</c:v>
                </c:pt>
                <c:pt idx="4">
                  <c:v>215</c:v>
                </c:pt>
              </c:numCache>
            </c:numRef>
          </c:val>
        </c:ser>
        <c:ser>
          <c:idx val="1"/>
          <c:order val="1"/>
          <c:tx>
            <c:strRef>
              <c:f>Psi!$F$3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Psi!$F$4:$F$8</c:f>
              <c:numCache>
                <c:formatCode>0</c:formatCode>
                <c:ptCount val="5"/>
                <c:pt idx="0">
                  <c:v>190</c:v>
                </c:pt>
                <c:pt idx="1">
                  <c:v>190</c:v>
                </c:pt>
                <c:pt idx="2">
                  <c:v>200</c:v>
                </c:pt>
                <c:pt idx="3">
                  <c:v>205</c:v>
                </c:pt>
                <c:pt idx="4">
                  <c:v>215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274448"/>
        <c:axId val="240272272"/>
      </c:barChart>
      <c:catAx>
        <c:axId val="2402744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272272"/>
        <c:crosses val="autoZero"/>
        <c:auto val="1"/>
        <c:lblAlgn val="ctr"/>
        <c:lblOffset val="100"/>
        <c:noMultiLvlLbl val="0"/>
      </c:catAx>
      <c:valAx>
        <c:axId val="2402722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27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Psi!$G$3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Psi!$G$4:$G$8</c:f>
              <c:numCache>
                <c:formatCode>0</c:formatCode>
                <c:ptCount val="5"/>
                <c:pt idx="0">
                  <c:v>185</c:v>
                </c:pt>
                <c:pt idx="1">
                  <c:v>181</c:v>
                </c:pt>
                <c:pt idx="2">
                  <c:v>192</c:v>
                </c:pt>
                <c:pt idx="3">
                  <c:v>196</c:v>
                </c:pt>
                <c:pt idx="4">
                  <c:v>207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0276080"/>
        <c:axId val="240276624"/>
      </c:barChart>
      <c:lineChart>
        <c:grouping val="standard"/>
        <c:varyColors val="0"/>
        <c:ser>
          <c:idx val="1"/>
          <c:order val="1"/>
          <c:tx>
            <c:strRef>
              <c:f>Psi!$H$3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Psi!$H$4:$H$8</c:f>
              <c:numCache>
                <c:formatCode>0</c:formatCode>
                <c:ptCount val="5"/>
                <c:pt idx="0">
                  <c:v>181</c:v>
                </c:pt>
                <c:pt idx="1">
                  <c:v>177</c:v>
                </c:pt>
                <c:pt idx="2">
                  <c:v>188</c:v>
                </c:pt>
                <c:pt idx="3">
                  <c:v>192</c:v>
                </c:pt>
                <c:pt idx="4">
                  <c:v>202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276080"/>
        <c:axId val="240276624"/>
      </c:lineChart>
      <c:catAx>
        <c:axId val="24027608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276624"/>
        <c:crosses val="autoZero"/>
        <c:auto val="1"/>
        <c:lblAlgn val="ctr"/>
        <c:lblOffset val="100"/>
        <c:noMultiLvlLbl val="0"/>
      </c:catAx>
      <c:valAx>
        <c:axId val="2402766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27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SI!$D$4:$D$8</c:f>
              <c:numCache>
                <c:formatCode>0</c:formatCode>
                <c:ptCount val="5"/>
                <c:pt idx="0">
                  <c:v>425</c:v>
                </c:pt>
                <c:pt idx="1">
                  <c:v>455</c:v>
                </c:pt>
                <c:pt idx="2">
                  <c:v>520</c:v>
                </c:pt>
                <c:pt idx="3">
                  <c:v>570</c:v>
                </c:pt>
                <c:pt idx="4">
                  <c:v>640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272816"/>
        <c:axId val="240278800"/>
      </c:barChart>
      <c:catAx>
        <c:axId val="24027281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278800"/>
        <c:crosses val="autoZero"/>
        <c:auto val="1"/>
        <c:lblAlgn val="ctr"/>
        <c:lblOffset val="100"/>
        <c:noMultiLvlLbl val="0"/>
      </c:catAx>
      <c:valAx>
        <c:axId val="240278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27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SI!$E$4:$E$8</c:f>
              <c:numCache>
                <c:formatCode>0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165</c:v>
                </c:pt>
                <c:pt idx="3">
                  <c:v>165</c:v>
                </c:pt>
                <c:pt idx="4">
                  <c:v>175</c:v>
                </c:pt>
              </c:numCache>
            </c:numRef>
          </c:val>
        </c:ser>
        <c:ser>
          <c:idx val="1"/>
          <c:order val="1"/>
          <c:tx>
            <c:strRef>
              <c:f>SI!$F$3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SI!$F$4:$F$8</c:f>
              <c:numCache>
                <c:formatCode>0</c:formatCode>
                <c:ptCount val="5"/>
                <c:pt idx="0">
                  <c:v>150</c:v>
                </c:pt>
                <c:pt idx="1">
                  <c:v>150</c:v>
                </c:pt>
                <c:pt idx="2">
                  <c:v>165</c:v>
                </c:pt>
                <c:pt idx="3">
                  <c:v>165</c:v>
                </c:pt>
                <c:pt idx="4">
                  <c:v>175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279888"/>
        <c:axId val="240280432"/>
      </c:barChart>
      <c:catAx>
        <c:axId val="24027988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280432"/>
        <c:crosses val="autoZero"/>
        <c:auto val="1"/>
        <c:lblAlgn val="ctr"/>
        <c:lblOffset val="100"/>
        <c:noMultiLvlLbl val="0"/>
      </c:catAx>
      <c:valAx>
        <c:axId val="240280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27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SI!$G$4:$G$8</c:f>
              <c:numCache>
                <c:formatCode>0</c:formatCode>
                <c:ptCount val="5"/>
                <c:pt idx="0">
                  <c:v>146</c:v>
                </c:pt>
                <c:pt idx="1">
                  <c:v>143</c:v>
                </c:pt>
                <c:pt idx="2">
                  <c:v>158</c:v>
                </c:pt>
                <c:pt idx="3">
                  <c:v>160</c:v>
                </c:pt>
                <c:pt idx="4">
                  <c:v>169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0281520"/>
        <c:axId val="240282064"/>
      </c:barChart>
      <c:lineChart>
        <c:grouping val="standard"/>
        <c:varyColors val="0"/>
        <c:ser>
          <c:idx val="1"/>
          <c:order val="1"/>
          <c:tx>
            <c:strRef>
              <c:f>SI!$H$3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SI!$H$4:$H$8</c:f>
              <c:numCache>
                <c:formatCode>0</c:formatCode>
                <c:ptCount val="5"/>
                <c:pt idx="0">
                  <c:v>143</c:v>
                </c:pt>
                <c:pt idx="1">
                  <c:v>140</c:v>
                </c:pt>
                <c:pt idx="2">
                  <c:v>154</c:v>
                </c:pt>
                <c:pt idx="3">
                  <c:v>156</c:v>
                </c:pt>
                <c:pt idx="4">
                  <c:v>165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281520"/>
        <c:axId val="240282064"/>
      </c:lineChart>
      <c:catAx>
        <c:axId val="24028152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282064"/>
        <c:crosses val="autoZero"/>
        <c:auto val="1"/>
        <c:lblAlgn val="ctr"/>
        <c:lblOffset val="100"/>
        <c:noMultiLvlLbl val="0"/>
      </c:catAx>
      <c:valAx>
        <c:axId val="240282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2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TEKIN!$D$4:$D$8</c:f>
              <c:numCache>
                <c:formatCode>0</c:formatCode>
                <c:ptCount val="5"/>
                <c:pt idx="0">
                  <c:v>350</c:v>
                </c:pt>
                <c:pt idx="1">
                  <c:v>375</c:v>
                </c:pt>
                <c:pt idx="2">
                  <c:v>410</c:v>
                </c:pt>
                <c:pt idx="3">
                  <c:v>455</c:v>
                </c:pt>
                <c:pt idx="4">
                  <c:v>500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267920"/>
        <c:axId val="240268464"/>
      </c:barChart>
      <c:catAx>
        <c:axId val="24026792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268464"/>
        <c:crosses val="autoZero"/>
        <c:auto val="1"/>
        <c:lblAlgn val="ctr"/>
        <c:lblOffset val="100"/>
        <c:noMultiLvlLbl val="0"/>
      </c:catAx>
      <c:valAx>
        <c:axId val="240268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26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TEKIN!$E$3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TEKIN!$E$4:$E$8</c:f>
              <c:numCache>
                <c:formatCode>0</c:formatCode>
                <c:ptCount val="5"/>
                <c:pt idx="0">
                  <c:v>125</c:v>
                </c:pt>
                <c:pt idx="1">
                  <c:v>125</c:v>
                </c:pt>
                <c:pt idx="2">
                  <c:v>135</c:v>
                </c:pt>
                <c:pt idx="3">
                  <c:v>135</c:v>
                </c:pt>
                <c:pt idx="4">
                  <c:v>145</c:v>
                </c:pt>
              </c:numCache>
            </c:numRef>
          </c:val>
        </c:ser>
        <c:ser>
          <c:idx val="1"/>
          <c:order val="1"/>
          <c:tx>
            <c:strRef>
              <c:f>TEKIN!$F$3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TEKIN!$F$4:$F$8</c:f>
              <c:numCache>
                <c:formatCode>0</c:formatCode>
                <c:ptCount val="5"/>
                <c:pt idx="0">
                  <c:v>125</c:v>
                </c:pt>
                <c:pt idx="1">
                  <c:v>125</c:v>
                </c:pt>
                <c:pt idx="2">
                  <c:v>135</c:v>
                </c:pt>
                <c:pt idx="3">
                  <c:v>135</c:v>
                </c:pt>
                <c:pt idx="4">
                  <c:v>145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066976"/>
        <c:axId val="240073504"/>
      </c:barChart>
      <c:catAx>
        <c:axId val="2400669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073504"/>
        <c:crosses val="autoZero"/>
        <c:auto val="1"/>
        <c:lblAlgn val="ctr"/>
        <c:lblOffset val="100"/>
        <c:noMultiLvlLbl val="0"/>
      </c:catAx>
      <c:valAx>
        <c:axId val="2400735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0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TEKIN!$G$3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TEKIN!$G$4:$G$8</c:f>
              <c:numCache>
                <c:formatCode>0</c:formatCode>
                <c:ptCount val="5"/>
                <c:pt idx="0">
                  <c:v>121</c:v>
                </c:pt>
                <c:pt idx="1">
                  <c:v>119</c:v>
                </c:pt>
                <c:pt idx="2">
                  <c:v>129</c:v>
                </c:pt>
                <c:pt idx="3">
                  <c:v>131</c:v>
                </c:pt>
                <c:pt idx="4">
                  <c:v>138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0065344"/>
        <c:axId val="240070784"/>
      </c:barChart>
      <c:lineChart>
        <c:grouping val="standard"/>
        <c:varyColors val="0"/>
        <c:ser>
          <c:idx val="1"/>
          <c:order val="1"/>
          <c:tx>
            <c:strRef>
              <c:f>TEKIN!$H$3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TEKIN!$H$4:$H$8</c:f>
              <c:numCache>
                <c:formatCode>0</c:formatCode>
                <c:ptCount val="5"/>
                <c:pt idx="0">
                  <c:v>118</c:v>
                </c:pt>
                <c:pt idx="1">
                  <c:v>116</c:v>
                </c:pt>
                <c:pt idx="2">
                  <c:v>126</c:v>
                </c:pt>
                <c:pt idx="3">
                  <c:v>128</c:v>
                </c:pt>
                <c:pt idx="4">
                  <c:v>135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065344"/>
        <c:axId val="240070784"/>
      </c:lineChart>
      <c:catAx>
        <c:axId val="24006534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070784"/>
        <c:crosses val="autoZero"/>
        <c:auto val="1"/>
        <c:lblAlgn val="ctr"/>
        <c:lblOffset val="100"/>
        <c:noMultiLvlLbl val="0"/>
      </c:catAx>
      <c:valAx>
        <c:axId val="240070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06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TEKMES!$D$4:$D$8</c:f>
              <c:numCache>
                <c:formatCode>0</c:formatCode>
                <c:ptCount val="5"/>
                <c:pt idx="0">
                  <c:v>295</c:v>
                </c:pt>
                <c:pt idx="1">
                  <c:v>310</c:v>
                </c:pt>
                <c:pt idx="2">
                  <c:v>350</c:v>
                </c:pt>
                <c:pt idx="3">
                  <c:v>395</c:v>
                </c:pt>
                <c:pt idx="4">
                  <c:v>440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074592"/>
        <c:axId val="240065888"/>
      </c:barChart>
      <c:catAx>
        <c:axId val="24007459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065888"/>
        <c:crosses val="autoZero"/>
        <c:auto val="1"/>
        <c:lblAlgn val="ctr"/>
        <c:lblOffset val="100"/>
        <c:noMultiLvlLbl val="0"/>
      </c:catAx>
      <c:valAx>
        <c:axId val="240065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07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TEKMES!$E$3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TEKMES!$E$4:$E$8</c:f>
              <c:numCache>
                <c:formatCode>0</c:formatCode>
                <c:ptCount val="5"/>
                <c:pt idx="0">
                  <c:v>105</c:v>
                </c:pt>
                <c:pt idx="1">
                  <c:v>105</c:v>
                </c:pt>
                <c:pt idx="2">
                  <c:v>115</c:v>
                </c:pt>
                <c:pt idx="3">
                  <c:v>115</c:v>
                </c:pt>
                <c:pt idx="4">
                  <c:v>120</c:v>
                </c:pt>
              </c:numCache>
            </c:numRef>
          </c:val>
        </c:ser>
        <c:ser>
          <c:idx val="1"/>
          <c:order val="1"/>
          <c:tx>
            <c:strRef>
              <c:f>TEKMES!$F$3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TEKMES!$F$4:$F$8</c:f>
              <c:numCache>
                <c:formatCode>0</c:formatCode>
                <c:ptCount val="5"/>
                <c:pt idx="0">
                  <c:v>105</c:v>
                </c:pt>
                <c:pt idx="1">
                  <c:v>105</c:v>
                </c:pt>
                <c:pt idx="2">
                  <c:v>115</c:v>
                </c:pt>
                <c:pt idx="3">
                  <c:v>115</c:v>
                </c:pt>
                <c:pt idx="4">
                  <c:v>120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071872"/>
        <c:axId val="240066432"/>
      </c:barChart>
      <c:catAx>
        <c:axId val="2400718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066432"/>
        <c:crosses val="autoZero"/>
        <c:auto val="1"/>
        <c:lblAlgn val="ctr"/>
        <c:lblOffset val="100"/>
        <c:noMultiLvlLbl val="0"/>
      </c:catAx>
      <c:valAx>
        <c:axId val="240066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07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TEKMES!$G$3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TEKMES!$G$4:$G$8</c:f>
              <c:numCache>
                <c:formatCode>0</c:formatCode>
                <c:ptCount val="5"/>
                <c:pt idx="0">
                  <c:v>101</c:v>
                </c:pt>
                <c:pt idx="1">
                  <c:v>100</c:v>
                </c:pt>
                <c:pt idx="2">
                  <c:v>109</c:v>
                </c:pt>
                <c:pt idx="3">
                  <c:v>107</c:v>
                </c:pt>
                <c:pt idx="4">
                  <c:v>114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0069696"/>
        <c:axId val="240063712"/>
      </c:barChart>
      <c:lineChart>
        <c:grouping val="standard"/>
        <c:varyColors val="0"/>
        <c:ser>
          <c:idx val="1"/>
          <c:order val="1"/>
          <c:tx>
            <c:strRef>
              <c:f>TEKMES!$H$3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TEKMES!$H$4:$H$8</c:f>
              <c:numCache>
                <c:formatCode>0</c:formatCode>
                <c:ptCount val="5"/>
                <c:pt idx="0">
                  <c:v>98</c:v>
                </c:pt>
                <c:pt idx="1">
                  <c:v>97</c:v>
                </c:pt>
                <c:pt idx="2">
                  <c:v>106</c:v>
                </c:pt>
                <c:pt idx="3">
                  <c:v>104</c:v>
                </c:pt>
                <c:pt idx="4">
                  <c:v>111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069696"/>
        <c:axId val="240063712"/>
      </c:lineChart>
      <c:catAx>
        <c:axId val="2400696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063712"/>
        <c:crosses val="autoZero"/>
        <c:auto val="1"/>
        <c:lblAlgn val="ctr"/>
        <c:lblOffset val="100"/>
        <c:noMultiLvlLbl val="0"/>
      </c:catAx>
      <c:valAx>
        <c:axId val="2400637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06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</a:t>
            </a:r>
            <a:r>
              <a:rPr lang="en-US" baseline="0"/>
              <a:t> Pendaftar (Tahun)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TEKSIP!$D$4:$D$8</c:f>
              <c:numCache>
                <c:formatCode>0</c:formatCode>
                <c:ptCount val="5"/>
                <c:pt idx="0">
                  <c:v>325</c:v>
                </c:pt>
                <c:pt idx="1">
                  <c:v>345</c:v>
                </c:pt>
                <c:pt idx="2">
                  <c:v>385</c:v>
                </c:pt>
                <c:pt idx="3">
                  <c:v>430</c:v>
                </c:pt>
                <c:pt idx="4">
                  <c:v>475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075680"/>
        <c:axId val="240076224"/>
      </c:barChart>
      <c:catAx>
        <c:axId val="24007568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076224"/>
        <c:crosses val="autoZero"/>
        <c:auto val="1"/>
        <c:lblAlgn val="ctr"/>
        <c:lblOffset val="100"/>
        <c:noMultiLvlLbl val="0"/>
      </c:catAx>
      <c:valAx>
        <c:axId val="240076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07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Tampung x Jumlah Diterima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TEKSIP!$E$3</c:f>
              <c:strCache>
                <c:ptCount val="1"/>
                <c:pt idx="0">
                  <c:v>Daya Tampung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TEKSIP!$E$4:$E$8</c:f>
              <c:numCache>
                <c:formatCode>0</c:formatCode>
                <c:ptCount val="5"/>
                <c:pt idx="0">
                  <c:v>115</c:v>
                </c:pt>
                <c:pt idx="1">
                  <c:v>115</c:v>
                </c:pt>
                <c:pt idx="2">
                  <c:v>125</c:v>
                </c:pt>
                <c:pt idx="3">
                  <c:v>125</c:v>
                </c:pt>
                <c:pt idx="4">
                  <c:v>130</c:v>
                </c:pt>
              </c:numCache>
            </c:numRef>
          </c:val>
        </c:ser>
        <c:ser>
          <c:idx val="1"/>
          <c:order val="1"/>
          <c:tx>
            <c:strRef>
              <c:f>TEKSIP!$F$3</c:f>
              <c:strCache>
                <c:ptCount val="1"/>
                <c:pt idx="0">
                  <c:v>Jumlah Diterima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TEKSIP!$F$4:$F$8</c:f>
              <c:numCache>
                <c:formatCode>0</c:formatCode>
                <c:ptCount val="5"/>
                <c:pt idx="0">
                  <c:v>115</c:v>
                </c:pt>
                <c:pt idx="1">
                  <c:v>115</c:v>
                </c:pt>
                <c:pt idx="2">
                  <c:v>125</c:v>
                </c:pt>
                <c:pt idx="3">
                  <c:v>125</c:v>
                </c:pt>
                <c:pt idx="4">
                  <c:v>130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0072416"/>
        <c:axId val="240064800"/>
      </c:barChart>
      <c:catAx>
        <c:axId val="24007241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40064800"/>
        <c:crosses val="autoZero"/>
        <c:auto val="1"/>
        <c:lblAlgn val="ctr"/>
        <c:lblOffset val="100"/>
        <c:noMultiLvlLbl val="0"/>
      </c:catAx>
      <c:valAx>
        <c:axId val="240064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0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Daftar Ulang x Jumlah Mahasiswa Baru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TEKSIP!$G$3</c:f>
              <c:strCache>
                <c:ptCount val="1"/>
                <c:pt idx="0">
                  <c:v>Jumlah Daftar Ulang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TEKSIP!$G$4:$G$8</c:f>
              <c:numCache>
                <c:formatCode>0</c:formatCode>
                <c:ptCount val="5"/>
                <c:pt idx="0">
                  <c:v>111</c:v>
                </c:pt>
                <c:pt idx="1">
                  <c:v>109</c:v>
                </c:pt>
                <c:pt idx="2">
                  <c:v>119</c:v>
                </c:pt>
                <c:pt idx="3">
                  <c:v>118</c:v>
                </c:pt>
                <c:pt idx="4">
                  <c:v>124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40072960"/>
        <c:axId val="289147968"/>
      </c:barChart>
      <c:lineChart>
        <c:grouping val="standard"/>
        <c:varyColors val="0"/>
        <c:ser>
          <c:idx val="1"/>
          <c:order val="1"/>
          <c:tx>
            <c:strRef>
              <c:f>TEKSIP!$H$3</c:f>
              <c:strCache>
                <c:ptCount val="1"/>
                <c:pt idx="0">
                  <c:v>Jumlah Mahasiswa Baru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TEKSIP!$H$4:$H$8</c:f>
              <c:numCache>
                <c:formatCode>0</c:formatCode>
                <c:ptCount val="5"/>
                <c:pt idx="0">
                  <c:v>108</c:v>
                </c:pt>
                <c:pt idx="1">
                  <c:v>106</c:v>
                </c:pt>
                <c:pt idx="2">
                  <c:v>116</c:v>
                </c:pt>
                <c:pt idx="3">
                  <c:v>115</c:v>
                </c:pt>
                <c:pt idx="4">
                  <c:v>121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0072960"/>
        <c:axId val="289147968"/>
      </c:lineChart>
      <c:catAx>
        <c:axId val="24007296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Axis Title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89147968"/>
        <c:crosses val="autoZero"/>
        <c:auto val="1"/>
        <c:lblAlgn val="ctr"/>
        <c:lblOffset val="100"/>
        <c:noMultiLvlLbl val="0"/>
      </c:catAx>
      <c:valAx>
        <c:axId val="2891479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24007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8</xdr:row>
      <xdr:rowOff>154641</xdr:rowOff>
    </xdr:from>
    <xdr:to>
      <xdr:col>15</xdr:col>
      <xdr:colOff>466725</xdr:colOff>
      <xdr:row>23</xdr:row>
      <xdr:rowOff>40341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695325</xdr:colOff>
      <xdr:row>21</xdr:row>
      <xdr:rowOff>101641</xdr:rowOff>
    </xdr:from>
    <xdr:to>
      <xdr:col>11</xdr:col>
      <xdr:colOff>173444</xdr:colOff>
      <xdr:row>23</xdr:row>
      <xdr:rowOff>18114</xdr:rowOff>
    </xdr:to>
    <xdr:sp macro="" textlink="">
      <xdr:nvSpPr>
        <xdr:cNvPr id="8" name="TextBox 1"/>
        <xdr:cNvSpPr txBox="1"/>
      </xdr:nvSpPr>
      <xdr:spPr>
        <a:xfrm>
          <a:off x="9279031" y="4404700"/>
          <a:ext cx="497854" cy="29747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xdr:txBody>
    </xdr:sp>
    <xdr:clientData/>
  </xdr:twoCellAnchor>
  <xdr:twoCellAnchor>
    <xdr:from>
      <xdr:col>11</xdr:col>
      <xdr:colOff>497657</xdr:colOff>
      <xdr:row>21</xdr:row>
      <xdr:rowOff>94316</xdr:rowOff>
    </xdr:from>
    <xdr:to>
      <xdr:col>12</xdr:col>
      <xdr:colOff>385351</xdr:colOff>
      <xdr:row>23</xdr:row>
      <xdr:rowOff>10789</xdr:rowOff>
    </xdr:to>
    <xdr:sp macro="" textlink="">
      <xdr:nvSpPr>
        <xdr:cNvPr id="9" name="TextBox 1"/>
        <xdr:cNvSpPr txBox="1"/>
      </xdr:nvSpPr>
      <xdr:spPr>
        <a:xfrm>
          <a:off x="10101098" y="4397375"/>
          <a:ext cx="492812" cy="29747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xdr:txBody>
    </xdr:sp>
    <xdr:clientData/>
  </xdr:twoCellAnchor>
  <xdr:twoCellAnchor>
    <xdr:from>
      <xdr:col>13</xdr:col>
      <xdr:colOff>108647</xdr:colOff>
      <xdr:row>21</xdr:row>
      <xdr:rowOff>95292</xdr:rowOff>
    </xdr:from>
    <xdr:to>
      <xdr:col>14</xdr:col>
      <xdr:colOff>823</xdr:colOff>
      <xdr:row>23</xdr:row>
      <xdr:rowOff>11765</xdr:rowOff>
    </xdr:to>
    <xdr:sp macro="" textlink="">
      <xdr:nvSpPr>
        <xdr:cNvPr id="10" name="TextBox 1"/>
        <xdr:cNvSpPr txBox="1"/>
      </xdr:nvSpPr>
      <xdr:spPr>
        <a:xfrm>
          <a:off x="10922323" y="4398351"/>
          <a:ext cx="497294" cy="29747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xdr:txBody>
    </xdr:sp>
    <xdr:clientData/>
  </xdr:twoCellAnchor>
  <xdr:twoCellAnchor>
    <xdr:from>
      <xdr:col>14</xdr:col>
      <xdr:colOff>313188</xdr:colOff>
      <xdr:row>21</xdr:row>
      <xdr:rowOff>87966</xdr:rowOff>
    </xdr:from>
    <xdr:to>
      <xdr:col>15</xdr:col>
      <xdr:colOff>200882</xdr:colOff>
      <xdr:row>23</xdr:row>
      <xdr:rowOff>4439</xdr:rowOff>
    </xdr:to>
    <xdr:sp macro="" textlink="">
      <xdr:nvSpPr>
        <xdr:cNvPr id="11" name="TextBox 1"/>
        <xdr:cNvSpPr txBox="1"/>
      </xdr:nvSpPr>
      <xdr:spPr>
        <a:xfrm>
          <a:off x="11731982" y="4391025"/>
          <a:ext cx="492812" cy="29747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xdr:txBody>
    </xdr:sp>
    <xdr:clientData/>
  </xdr:twoCellAnchor>
  <xdr:twoCellAnchor>
    <xdr:from>
      <xdr:col>9</xdr:col>
      <xdr:colOff>465588</xdr:colOff>
      <xdr:row>21</xdr:row>
      <xdr:rowOff>107016</xdr:rowOff>
    </xdr:from>
    <xdr:to>
      <xdr:col>10</xdr:col>
      <xdr:colOff>353282</xdr:colOff>
      <xdr:row>23</xdr:row>
      <xdr:rowOff>23489</xdr:rowOff>
    </xdr:to>
    <xdr:sp macro="" textlink="">
      <xdr:nvSpPr>
        <xdr:cNvPr id="12" name="TextBox 1"/>
        <xdr:cNvSpPr txBox="1"/>
      </xdr:nvSpPr>
      <xdr:spPr>
        <a:xfrm>
          <a:off x="8444176" y="4410075"/>
          <a:ext cx="492812" cy="297473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180975</xdr:rowOff>
    </xdr:from>
    <xdr:to>
      <xdr:col>5</xdr:col>
      <xdr:colOff>171450</xdr:colOff>
      <xdr:row>23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264215</xdr:colOff>
      <xdr:row>8</xdr:row>
      <xdr:rowOff>171450</xdr:rowOff>
    </xdr:from>
    <xdr:to>
      <xdr:col>10</xdr:col>
      <xdr:colOff>140390</xdr:colOff>
      <xdr:row>23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333375</xdr:colOff>
      <xdr:row>0</xdr:row>
      <xdr:rowOff>76200</xdr:rowOff>
    </xdr:from>
    <xdr:to>
      <xdr:col>16</xdr:col>
      <xdr:colOff>28575</xdr:colOff>
      <xdr:row>8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0.25723</cdr:x>
      <cdr:y>0.8807</cdr:y>
    </cdr:from>
    <cdr:to>
      <cdr:x>0.38533</cdr:x>
      <cdr:y>0.98914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9951" y="2415942"/>
          <a:ext cx="498013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0.44084</cdr:x>
      <cdr:y>0.88452</cdr:y>
    </cdr:from>
    <cdr:to>
      <cdr:x>0.56765</cdr:x>
      <cdr:y>0.99296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3735" y="2426425"/>
          <a:ext cx="492969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0.63063</cdr:x>
      <cdr:y>0.88443</cdr:y>
    </cdr:from>
    <cdr:to>
      <cdr:x>0.75859</cdr:x>
      <cdr:y>0.99287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1525" y="2426159"/>
          <a:ext cx="497453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0.8135</cdr:x>
      <cdr:y>0.88176</cdr:y>
    </cdr:from>
    <cdr:to>
      <cdr:x>0.94031</cdr:x>
      <cdr:y>0.9902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60049" y="2418833"/>
          <a:ext cx="492599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0.07309</cdr:x>
      <cdr:y>0.88176</cdr:y>
    </cdr:from>
    <cdr:to>
      <cdr:x>0.1999</cdr:x>
      <cdr:y>0.9902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84146" y="2418833"/>
          <a:ext cx="492970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369794</xdr:colOff>
      <xdr:row>23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628650</xdr:colOff>
      <xdr:row>9</xdr:row>
      <xdr:rowOff>9525</xdr:rowOff>
    </xdr:from>
    <xdr:to>
      <xdr:col>11</xdr:col>
      <xdr:colOff>24848</xdr:colOff>
      <xdr:row>23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219075</xdr:colOff>
      <xdr:row>8</xdr:row>
      <xdr:rowOff>180975</xdr:rowOff>
    </xdr:from>
    <xdr:to>
      <xdr:col>18</xdr:col>
      <xdr:colOff>550379</xdr:colOff>
      <xdr:row>23</xdr:row>
      <xdr:rowOff>67503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5</xdr:col>
      <xdr:colOff>188819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9</xdr:row>
      <xdr:rowOff>19050</xdr:rowOff>
    </xdr:from>
    <xdr:to>
      <xdr:col>10</xdr:col>
      <xdr:colOff>596348</xdr:colOff>
      <xdr:row>23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180975</xdr:colOff>
      <xdr:row>9</xdr:row>
      <xdr:rowOff>0</xdr:rowOff>
    </xdr:from>
    <xdr:to>
      <xdr:col>18</xdr:col>
      <xdr:colOff>512279</xdr:colOff>
      <xdr:row>23</xdr:row>
      <xdr:rowOff>77028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5</xdr:col>
      <xdr:colOff>588869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9</xdr:row>
      <xdr:rowOff>19050</xdr:rowOff>
    </xdr:from>
    <xdr:to>
      <xdr:col>11</xdr:col>
      <xdr:colOff>205823</xdr:colOff>
      <xdr:row>23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400050</xdr:colOff>
      <xdr:row>9</xdr:row>
      <xdr:rowOff>0</xdr:rowOff>
    </xdr:from>
    <xdr:to>
      <xdr:col>19</xdr:col>
      <xdr:colOff>121754</xdr:colOff>
      <xdr:row>23</xdr:row>
      <xdr:rowOff>77028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5</xdr:col>
      <xdr:colOff>274544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9</xdr:row>
      <xdr:rowOff>19050</xdr:rowOff>
    </xdr:from>
    <xdr:to>
      <xdr:col>11</xdr:col>
      <xdr:colOff>53423</xdr:colOff>
      <xdr:row>23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9</xdr:row>
      <xdr:rowOff>0</xdr:rowOff>
    </xdr:from>
    <xdr:to>
      <xdr:col>18</xdr:col>
      <xdr:colOff>578954</xdr:colOff>
      <xdr:row>23</xdr:row>
      <xdr:rowOff>77028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5</xdr:col>
      <xdr:colOff>265019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9</xdr:row>
      <xdr:rowOff>19050</xdr:rowOff>
    </xdr:from>
    <xdr:to>
      <xdr:col>10</xdr:col>
      <xdr:colOff>520148</xdr:colOff>
      <xdr:row>23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104775</xdr:colOff>
      <xdr:row>9</xdr:row>
      <xdr:rowOff>0</xdr:rowOff>
    </xdr:from>
    <xdr:to>
      <xdr:col>18</xdr:col>
      <xdr:colOff>436079</xdr:colOff>
      <xdr:row>23</xdr:row>
      <xdr:rowOff>77028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5</xdr:col>
      <xdr:colOff>93569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9</xdr:row>
      <xdr:rowOff>19050</xdr:rowOff>
    </xdr:from>
    <xdr:to>
      <xdr:col>10</xdr:col>
      <xdr:colOff>453473</xdr:colOff>
      <xdr:row>23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</xdr:colOff>
      <xdr:row>9</xdr:row>
      <xdr:rowOff>0</xdr:rowOff>
    </xdr:from>
    <xdr:to>
      <xdr:col>18</xdr:col>
      <xdr:colOff>369404</xdr:colOff>
      <xdr:row>23</xdr:row>
      <xdr:rowOff>77028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5</xdr:col>
      <xdr:colOff>217394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9</xdr:row>
      <xdr:rowOff>19050</xdr:rowOff>
    </xdr:from>
    <xdr:to>
      <xdr:col>10</xdr:col>
      <xdr:colOff>548723</xdr:colOff>
      <xdr:row>23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133350</xdr:colOff>
      <xdr:row>9</xdr:row>
      <xdr:rowOff>0</xdr:rowOff>
    </xdr:from>
    <xdr:to>
      <xdr:col>18</xdr:col>
      <xdr:colOff>464654</xdr:colOff>
      <xdr:row>23</xdr:row>
      <xdr:rowOff>77028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5</xdr:col>
      <xdr:colOff>465044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9</xdr:row>
      <xdr:rowOff>19050</xdr:rowOff>
    </xdr:from>
    <xdr:to>
      <xdr:col>10</xdr:col>
      <xdr:colOff>482048</xdr:colOff>
      <xdr:row>23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66675</xdr:colOff>
      <xdr:row>9</xdr:row>
      <xdr:rowOff>0</xdr:rowOff>
    </xdr:from>
    <xdr:to>
      <xdr:col>18</xdr:col>
      <xdr:colOff>397979</xdr:colOff>
      <xdr:row>23</xdr:row>
      <xdr:rowOff>77028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5</xdr:col>
      <xdr:colOff>341219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9</xdr:row>
      <xdr:rowOff>19050</xdr:rowOff>
    </xdr:from>
    <xdr:to>
      <xdr:col>10</xdr:col>
      <xdr:colOff>424898</xdr:colOff>
      <xdr:row>23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9</xdr:row>
      <xdr:rowOff>0</xdr:rowOff>
    </xdr:from>
    <xdr:to>
      <xdr:col>18</xdr:col>
      <xdr:colOff>340829</xdr:colOff>
      <xdr:row>23</xdr:row>
      <xdr:rowOff>77028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0.25668</cdr:x>
      <cdr:y>0.88613</cdr:y>
    </cdr:from>
    <cdr:to>
      <cdr:x>0.38479</cdr:x>
      <cdr:y>0.99457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97092" y="2430838"/>
          <a:ext cx="49764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0.44126</cdr:x>
      <cdr:y>0.88346</cdr:y>
    </cdr:from>
    <cdr:to>
      <cdr:x>0.56807</cdr:x>
      <cdr:y>0.9919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14081" y="2423507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0.63053</cdr:x>
      <cdr:y>0.88034</cdr:y>
    </cdr:from>
    <cdr:to>
      <cdr:x>0.75849</cdr:x>
      <cdr:y>0.98878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49305" y="2414949"/>
          <a:ext cx="497063" cy="297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0.81927</cdr:x>
      <cdr:y>0.87767</cdr:y>
    </cdr:from>
    <cdr:to>
      <cdr:x>0.94608</cdr:x>
      <cdr:y>0.98611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83838" y="2407627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0.07127</cdr:x>
      <cdr:y>0.87767</cdr:y>
    </cdr:from>
    <cdr:to>
      <cdr:x>0.19808</cdr:x>
      <cdr:y>0.98611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76831" y="2407624"/>
          <a:ext cx="492596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0.25179</cdr:x>
      <cdr:y>0.77698</cdr:y>
    </cdr:from>
    <cdr:to>
      <cdr:x>0.37959</cdr:x>
      <cdr:y>0.88542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905" y="2131400"/>
          <a:ext cx="49785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0.44814</cdr:x>
      <cdr:y>0.78125</cdr:y>
    </cdr:from>
    <cdr:to>
      <cdr:x>0.57464</cdr:x>
      <cdr:y>0.88969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45822" y="21431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0.6296</cdr:x>
      <cdr:y>0.77813</cdr:y>
    </cdr:from>
    <cdr:to>
      <cdr:x>0.75725</cdr:x>
      <cdr:y>0.88657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52747" y="2134576"/>
          <a:ext cx="497294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0.80809</cdr:x>
      <cdr:y>0.77546</cdr:y>
    </cdr:from>
    <cdr:to>
      <cdr:x>0.93459</cdr:x>
      <cdr:y>0.8839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48106" y="2127250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0.07661</cdr:x>
      <cdr:y>0.77199</cdr:y>
    </cdr:from>
    <cdr:to>
      <cdr:x>0.20311</cdr:x>
      <cdr:y>0.88043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298450" y="2117725"/>
          <a:ext cx="492812" cy="297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0.26174</cdr:x>
      <cdr:y>0.77778</cdr:y>
    </cdr:from>
    <cdr:to>
      <cdr:x>0.37063</cdr:x>
      <cdr:y>0.88622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93605" y="2134741"/>
          <a:ext cx="49657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2023</a:t>
          </a:r>
        </a:p>
      </cdr:txBody>
    </cdr:sp>
  </cdr:relSizeAnchor>
  <cdr:relSizeAnchor xmlns:cdr="http://schemas.openxmlformats.org/drawingml/2006/chartDrawing">
    <cdr:from>
      <cdr:x>0.45154</cdr:x>
      <cdr:y>0.77671</cdr:y>
    </cdr:from>
    <cdr:to>
      <cdr:x>0.55933</cdr:x>
      <cdr:y>0.88515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059139" y="2131819"/>
          <a:ext cx="491549" cy="297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0.63669</cdr:x>
      <cdr:y>0.77627</cdr:y>
    </cdr:from>
    <cdr:to>
      <cdr:x>0.74545</cdr:x>
      <cdr:y>0.88471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903463" y="2130592"/>
          <a:ext cx="49601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0.82573</cdr:x>
      <cdr:y>0.77093</cdr:y>
    </cdr:from>
    <cdr:to>
      <cdr:x>0.93352</cdr:x>
      <cdr:y>0.87937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765558" y="2115935"/>
          <a:ext cx="491548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2026</a:t>
          </a:r>
        </a:p>
      </cdr:txBody>
    </cdr:sp>
  </cdr:relSizeAnchor>
  <cdr:relSizeAnchor xmlns:cdr="http://schemas.openxmlformats.org/drawingml/2006/chartDrawing">
    <cdr:from>
      <cdr:x>0.07391</cdr:x>
      <cdr:y>0.77546</cdr:y>
    </cdr:from>
    <cdr:to>
      <cdr:x>0.1817</cdr:x>
      <cdr:y>0.8839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7054" y="2128386"/>
          <a:ext cx="491549" cy="2976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0">
              <a:solidFill>
                <a:schemeClr val="bg2">
                  <a:lumMod val="50000"/>
                </a:schemeClr>
              </a:solidFill>
            </a:rPr>
            <a:t>2022</a:t>
          </a:r>
        </a:p>
      </cdr:txBody>
    </cdr:sp>
  </cdr:relSizeAnchor>
</c:userShapes>
</file>

<file path=xl/tables/table1.xml><?xml version="1.0" encoding="utf-8"?>
<table xmlns="http://schemas.openxmlformats.org/spreadsheetml/2006/main" id="1" name="Table1" displayName="Table1" ref="A3:H53" totalsRowShown="0" headerRowDxfId="12" dataDxfId="10" headerRowBorderDxfId="11" tableBorderDxfId="9" totalsRowBorderDxfId="8">
  <autoFilter ref="A3:H53"/>
  <tableColumns count="8">
    <tableColumn id="1" name="No" dataDxfId="7"/>
    <tableColumn id="2" name="Tahun" dataDxfId="6"/>
    <tableColumn id="3" name="Program Studi" dataDxfId="5"/>
    <tableColumn id="4" name="Jumlah Pendaftar" dataDxfId="4"/>
    <tableColumn id="5" name="Daya Tampung" dataDxfId="3"/>
    <tableColumn id="6" name="Jumlah Diterima" dataDxfId="2"/>
    <tableColumn id="7" name="Jumlah Daftar Ulang" dataDxfId="1"/>
    <tableColumn id="8" name="Jumlah Mahasiswa Baru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zoomScale="85" zoomScaleNormal="85" workbookViewId="0">
      <selection activeCell="R5" sqref="R5"/>
    </sheetView>
  </sheetViews>
  <sheetFormatPr defaultRowHeight="15" x14ac:dyDescent="0.25"/>
  <cols>
    <col min="1" max="1" width="5.7109375" style="15" customWidth="1"/>
    <col min="2" max="2" width="8.5703125" style="15" customWidth="1"/>
    <col min="3" max="3" width="18.140625" bestFit="1" customWidth="1"/>
    <col min="4" max="4" width="16.5703125" bestFit="1" customWidth="1"/>
    <col min="5" max="5" width="14" bestFit="1" customWidth="1"/>
    <col min="6" max="6" width="15.5703125" bestFit="1" customWidth="1"/>
    <col min="7" max="7" width="15.28515625" customWidth="1"/>
    <col min="8" max="8" width="16.5703125" customWidth="1"/>
    <col min="11" max="11" width="15.28515625" customWidth="1"/>
  </cols>
  <sheetData>
    <row r="1" spans="1:11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11" s="17" customFormat="1" ht="34.5" customHeight="1" x14ac:dyDescent="0.25">
      <c r="A3" s="1" t="s">
        <v>1</v>
      </c>
      <c r="B3" s="2" t="s">
        <v>2</v>
      </c>
      <c r="C3" s="2" t="s">
        <v>3</v>
      </c>
      <c r="D3" s="16" t="s">
        <v>4</v>
      </c>
      <c r="E3" s="16" t="s">
        <v>5</v>
      </c>
      <c r="F3" s="16" t="s">
        <v>6</v>
      </c>
      <c r="G3" s="2" t="s">
        <v>7</v>
      </c>
      <c r="H3" s="3" t="s">
        <v>8</v>
      </c>
      <c r="J3" s="12" t="s">
        <v>2</v>
      </c>
      <c r="K3" s="12" t="s">
        <v>8</v>
      </c>
    </row>
    <row r="4" spans="1:11" ht="15" customHeight="1" x14ac:dyDescent="0.25">
      <c r="A4" s="4">
        <v>1</v>
      </c>
      <c r="B4" s="5">
        <v>2022</v>
      </c>
      <c r="C4" s="13" t="s">
        <v>9</v>
      </c>
      <c r="D4" s="8">
        <v>470</v>
      </c>
      <c r="E4" s="8">
        <v>160</v>
      </c>
      <c r="F4" s="8">
        <v>160</v>
      </c>
      <c r="G4" s="8">
        <v>156</v>
      </c>
      <c r="H4" s="9">
        <v>153</v>
      </c>
      <c r="J4" s="18">
        <v>2022</v>
      </c>
      <c r="K4" s="19">
        <f>SUM(H4:H13)</f>
        <v>1534</v>
      </c>
    </row>
    <row r="5" spans="1:11" ht="15" customHeight="1" x14ac:dyDescent="0.25">
      <c r="A5" s="4">
        <v>2</v>
      </c>
      <c r="B5" s="5">
        <v>2022</v>
      </c>
      <c r="C5" s="13" t="s">
        <v>10</v>
      </c>
      <c r="D5" s="8">
        <v>425</v>
      </c>
      <c r="E5" s="8">
        <v>150</v>
      </c>
      <c r="F5" s="8">
        <v>150</v>
      </c>
      <c r="G5" s="8">
        <v>146</v>
      </c>
      <c r="H5" s="9">
        <v>143</v>
      </c>
      <c r="J5" s="18">
        <v>2023</v>
      </c>
      <c r="K5" s="19">
        <f>SUM(H14:H23)</f>
        <v>1501</v>
      </c>
    </row>
    <row r="6" spans="1:11" ht="15" customHeight="1" x14ac:dyDescent="0.25">
      <c r="A6" s="4">
        <v>3</v>
      </c>
      <c r="B6" s="5">
        <v>2022</v>
      </c>
      <c r="C6" s="13" t="s">
        <v>11</v>
      </c>
      <c r="D6" s="8">
        <v>350</v>
      </c>
      <c r="E6" s="8">
        <v>125</v>
      </c>
      <c r="F6" s="8">
        <v>125</v>
      </c>
      <c r="G6" s="8">
        <v>121</v>
      </c>
      <c r="H6" s="9">
        <v>118</v>
      </c>
      <c r="J6" s="18">
        <v>2024</v>
      </c>
      <c r="K6" s="19">
        <f>SUM(H24:H33)</f>
        <v>1616</v>
      </c>
    </row>
    <row r="7" spans="1:11" x14ac:dyDescent="0.25">
      <c r="A7" s="4">
        <v>4</v>
      </c>
      <c r="B7" s="5">
        <v>2022</v>
      </c>
      <c r="C7" s="13" t="s">
        <v>12</v>
      </c>
      <c r="D7" s="8">
        <v>570</v>
      </c>
      <c r="E7" s="8">
        <v>210</v>
      </c>
      <c r="F7" s="8">
        <v>210</v>
      </c>
      <c r="G7" s="8">
        <v>204</v>
      </c>
      <c r="H7" s="9">
        <v>200</v>
      </c>
      <c r="J7" s="18">
        <v>2025</v>
      </c>
      <c r="K7" s="19">
        <f>SUM(H34:H43)</f>
        <v>1621</v>
      </c>
    </row>
    <row r="8" spans="1:11" ht="15" customHeight="1" x14ac:dyDescent="0.25">
      <c r="A8" s="4">
        <v>5</v>
      </c>
      <c r="B8" s="5">
        <v>2022</v>
      </c>
      <c r="C8" s="13" t="s">
        <v>13</v>
      </c>
      <c r="D8" s="8">
        <v>510</v>
      </c>
      <c r="E8" s="8">
        <v>190</v>
      </c>
      <c r="F8" s="8">
        <v>190</v>
      </c>
      <c r="G8" s="8">
        <v>185</v>
      </c>
      <c r="H8" s="9">
        <v>181</v>
      </c>
      <c r="J8" s="18">
        <v>2026</v>
      </c>
      <c r="K8" s="19">
        <f>SUM(H44:H53)</f>
        <v>1715</v>
      </c>
    </row>
    <row r="9" spans="1:11" ht="15" customHeight="1" x14ac:dyDescent="0.25">
      <c r="A9" s="4">
        <v>6</v>
      </c>
      <c r="B9" s="5">
        <v>2022</v>
      </c>
      <c r="C9" s="13" t="s">
        <v>14</v>
      </c>
      <c r="D9" s="8">
        <v>395</v>
      </c>
      <c r="E9" s="8">
        <v>140</v>
      </c>
      <c r="F9" s="8">
        <v>140</v>
      </c>
      <c r="G9" s="8">
        <v>136</v>
      </c>
      <c r="H9" s="9">
        <v>133</v>
      </c>
    </row>
    <row r="10" spans="1:11" ht="15" customHeight="1" x14ac:dyDescent="0.25">
      <c r="A10" s="4">
        <v>7</v>
      </c>
      <c r="B10" s="5">
        <v>2022</v>
      </c>
      <c r="C10" s="13" t="s">
        <v>15</v>
      </c>
      <c r="D10" s="8">
        <v>630</v>
      </c>
      <c r="E10" s="8">
        <v>230</v>
      </c>
      <c r="F10" s="8">
        <v>230</v>
      </c>
      <c r="G10" s="8">
        <v>224</v>
      </c>
      <c r="H10" s="9">
        <v>219</v>
      </c>
    </row>
    <row r="11" spans="1:11" ht="15" customHeight="1" x14ac:dyDescent="0.25">
      <c r="A11" s="4">
        <v>8</v>
      </c>
      <c r="B11" s="5">
        <v>2022</v>
      </c>
      <c r="C11" s="13" t="s">
        <v>16</v>
      </c>
      <c r="D11" s="8">
        <v>540</v>
      </c>
      <c r="E11" s="8">
        <v>190</v>
      </c>
      <c r="F11" s="8">
        <v>190</v>
      </c>
      <c r="G11" s="8">
        <v>185</v>
      </c>
      <c r="H11" s="9">
        <v>181</v>
      </c>
    </row>
    <row r="12" spans="1:11" ht="15" customHeight="1" x14ac:dyDescent="0.25">
      <c r="A12" s="4">
        <v>9</v>
      </c>
      <c r="B12" s="5">
        <v>2022</v>
      </c>
      <c r="C12" s="13" t="s">
        <v>17</v>
      </c>
      <c r="D12" s="8">
        <v>325</v>
      </c>
      <c r="E12" s="8">
        <v>115</v>
      </c>
      <c r="F12" s="8">
        <v>115</v>
      </c>
      <c r="G12" s="8">
        <v>111</v>
      </c>
      <c r="H12" s="9">
        <v>108</v>
      </c>
    </row>
    <row r="13" spans="1:11" ht="15" customHeight="1" x14ac:dyDescent="0.25">
      <c r="A13" s="4">
        <v>10</v>
      </c>
      <c r="B13" s="5">
        <v>2022</v>
      </c>
      <c r="C13" s="13" t="s">
        <v>18</v>
      </c>
      <c r="D13" s="8">
        <v>295</v>
      </c>
      <c r="E13" s="8">
        <v>105</v>
      </c>
      <c r="F13" s="8">
        <v>105</v>
      </c>
      <c r="G13" s="8">
        <v>101</v>
      </c>
      <c r="H13" s="9">
        <v>98</v>
      </c>
      <c r="K13" s="17"/>
    </row>
    <row r="14" spans="1:11" ht="15" customHeight="1" x14ac:dyDescent="0.25">
      <c r="A14" s="4">
        <v>11</v>
      </c>
      <c r="B14" s="5">
        <v>2023</v>
      </c>
      <c r="C14" s="13" t="s">
        <v>9</v>
      </c>
      <c r="D14" s="8">
        <v>445</v>
      </c>
      <c r="E14" s="8">
        <v>160</v>
      </c>
      <c r="F14" s="8">
        <v>160</v>
      </c>
      <c r="G14" s="8">
        <v>151</v>
      </c>
      <c r="H14" s="9">
        <v>148</v>
      </c>
    </row>
    <row r="15" spans="1:11" ht="15" customHeight="1" x14ac:dyDescent="0.25">
      <c r="A15" s="4">
        <v>12</v>
      </c>
      <c r="B15" s="5">
        <v>2023</v>
      </c>
      <c r="C15" s="13" t="s">
        <v>10</v>
      </c>
      <c r="D15" s="8">
        <v>455</v>
      </c>
      <c r="E15" s="8">
        <v>150</v>
      </c>
      <c r="F15" s="8">
        <v>150</v>
      </c>
      <c r="G15" s="8">
        <v>143</v>
      </c>
      <c r="H15" s="9">
        <v>140</v>
      </c>
    </row>
    <row r="16" spans="1:11" ht="15" customHeight="1" x14ac:dyDescent="0.25">
      <c r="A16" s="4">
        <v>13</v>
      </c>
      <c r="B16" s="5">
        <v>2023</v>
      </c>
      <c r="C16" s="13" t="s">
        <v>11</v>
      </c>
      <c r="D16" s="8">
        <v>375</v>
      </c>
      <c r="E16" s="8">
        <v>125</v>
      </c>
      <c r="F16" s="8">
        <v>125</v>
      </c>
      <c r="G16" s="8">
        <v>119</v>
      </c>
      <c r="H16" s="9">
        <v>116</v>
      </c>
    </row>
    <row r="17" spans="1:8" x14ac:dyDescent="0.25">
      <c r="A17" s="4">
        <v>14</v>
      </c>
      <c r="B17" s="5">
        <v>2023</v>
      </c>
      <c r="C17" s="13" t="s">
        <v>12</v>
      </c>
      <c r="D17" s="8">
        <v>545</v>
      </c>
      <c r="E17" s="8">
        <v>210</v>
      </c>
      <c r="F17" s="8">
        <v>210</v>
      </c>
      <c r="G17" s="8">
        <v>199</v>
      </c>
      <c r="H17" s="9">
        <v>195</v>
      </c>
    </row>
    <row r="18" spans="1:8" ht="15" customHeight="1" x14ac:dyDescent="0.25">
      <c r="A18" s="4">
        <v>15</v>
      </c>
      <c r="B18" s="5">
        <v>2023</v>
      </c>
      <c r="C18" s="13" t="s">
        <v>13</v>
      </c>
      <c r="D18" s="8">
        <v>530</v>
      </c>
      <c r="E18" s="8">
        <v>190</v>
      </c>
      <c r="F18" s="8">
        <v>190</v>
      </c>
      <c r="G18" s="8">
        <v>184</v>
      </c>
      <c r="H18" s="9">
        <v>180</v>
      </c>
    </row>
    <row r="19" spans="1:8" ht="15" customHeight="1" x14ac:dyDescent="0.25">
      <c r="A19" s="4">
        <v>16</v>
      </c>
      <c r="B19" s="5">
        <v>2023</v>
      </c>
      <c r="C19" s="13" t="s">
        <v>14</v>
      </c>
      <c r="D19" s="8">
        <v>420</v>
      </c>
      <c r="E19" s="8">
        <v>140</v>
      </c>
      <c r="F19" s="8">
        <v>140</v>
      </c>
      <c r="G19" s="8">
        <v>132</v>
      </c>
      <c r="H19" s="9">
        <v>129</v>
      </c>
    </row>
    <row r="20" spans="1:8" ht="15" customHeight="1" x14ac:dyDescent="0.25">
      <c r="A20" s="4">
        <v>17</v>
      </c>
      <c r="B20" s="5">
        <v>2023</v>
      </c>
      <c r="C20" s="13" t="s">
        <v>15</v>
      </c>
      <c r="D20" s="8">
        <v>665</v>
      </c>
      <c r="E20" s="8">
        <v>230</v>
      </c>
      <c r="F20" s="8">
        <v>230</v>
      </c>
      <c r="G20" s="8">
        <v>218</v>
      </c>
      <c r="H20" s="9">
        <v>213</v>
      </c>
    </row>
    <row r="21" spans="1:8" ht="15" customHeight="1" x14ac:dyDescent="0.25">
      <c r="A21" s="4">
        <v>18</v>
      </c>
      <c r="B21" s="5">
        <v>2023</v>
      </c>
      <c r="C21" s="13" t="s">
        <v>16</v>
      </c>
      <c r="D21" s="8">
        <v>565</v>
      </c>
      <c r="E21" s="8">
        <v>190</v>
      </c>
      <c r="F21" s="8">
        <v>190</v>
      </c>
      <c r="G21" s="8">
        <v>181</v>
      </c>
      <c r="H21" s="9">
        <v>177</v>
      </c>
    </row>
    <row r="22" spans="1:8" ht="15" customHeight="1" x14ac:dyDescent="0.25">
      <c r="A22" s="4">
        <v>19</v>
      </c>
      <c r="B22" s="5">
        <v>2023</v>
      </c>
      <c r="C22" s="13" t="s">
        <v>17</v>
      </c>
      <c r="D22" s="8">
        <v>345</v>
      </c>
      <c r="E22" s="8">
        <v>115</v>
      </c>
      <c r="F22" s="8">
        <v>115</v>
      </c>
      <c r="G22" s="8">
        <v>109</v>
      </c>
      <c r="H22" s="9">
        <v>106</v>
      </c>
    </row>
    <row r="23" spans="1:8" ht="15" customHeight="1" x14ac:dyDescent="0.25">
      <c r="A23" s="4">
        <v>20</v>
      </c>
      <c r="B23" s="5">
        <v>2023</v>
      </c>
      <c r="C23" s="13" t="s">
        <v>18</v>
      </c>
      <c r="D23" s="8">
        <v>310</v>
      </c>
      <c r="E23" s="8">
        <v>105</v>
      </c>
      <c r="F23" s="8">
        <v>105</v>
      </c>
      <c r="G23" s="8">
        <v>100</v>
      </c>
      <c r="H23" s="9">
        <v>97</v>
      </c>
    </row>
    <row r="24" spans="1:8" ht="15" customHeight="1" x14ac:dyDescent="0.25">
      <c r="A24" s="4">
        <v>21</v>
      </c>
      <c r="B24" s="5">
        <v>2024</v>
      </c>
      <c r="C24" s="13" t="s">
        <v>9</v>
      </c>
      <c r="D24" s="8">
        <v>590</v>
      </c>
      <c r="E24" s="8">
        <v>175</v>
      </c>
      <c r="F24" s="8">
        <v>175</v>
      </c>
      <c r="G24" s="8">
        <v>168</v>
      </c>
      <c r="H24" s="9">
        <v>165</v>
      </c>
    </row>
    <row r="25" spans="1:8" ht="15" customHeight="1" x14ac:dyDescent="0.25">
      <c r="A25" s="4">
        <v>22</v>
      </c>
      <c r="B25" s="5">
        <v>2024</v>
      </c>
      <c r="C25" s="13" t="s">
        <v>10</v>
      </c>
      <c r="D25" s="8">
        <v>520</v>
      </c>
      <c r="E25" s="8">
        <v>165</v>
      </c>
      <c r="F25" s="8">
        <v>165</v>
      </c>
      <c r="G25" s="8">
        <v>158</v>
      </c>
      <c r="H25" s="9">
        <v>154</v>
      </c>
    </row>
    <row r="26" spans="1:8" ht="15" customHeight="1" x14ac:dyDescent="0.25">
      <c r="A26" s="4">
        <v>23</v>
      </c>
      <c r="B26" s="5">
        <v>2024</v>
      </c>
      <c r="C26" s="13" t="s">
        <v>11</v>
      </c>
      <c r="D26" s="8">
        <v>410</v>
      </c>
      <c r="E26" s="8">
        <v>135</v>
      </c>
      <c r="F26" s="8">
        <v>135</v>
      </c>
      <c r="G26" s="8">
        <v>129</v>
      </c>
      <c r="H26" s="9">
        <v>126</v>
      </c>
    </row>
    <row r="27" spans="1:8" x14ac:dyDescent="0.25">
      <c r="A27" s="4">
        <v>24</v>
      </c>
      <c r="B27" s="5">
        <v>2024</v>
      </c>
      <c r="C27" s="13" t="s">
        <v>12</v>
      </c>
      <c r="D27" s="8">
        <v>675</v>
      </c>
      <c r="E27" s="8">
        <v>220</v>
      </c>
      <c r="F27" s="8">
        <v>220</v>
      </c>
      <c r="G27" s="8">
        <v>211</v>
      </c>
      <c r="H27" s="9">
        <v>207</v>
      </c>
    </row>
    <row r="28" spans="1:8" ht="15" customHeight="1" x14ac:dyDescent="0.25">
      <c r="A28" s="4">
        <v>25</v>
      </c>
      <c r="B28" s="5">
        <v>2024</v>
      </c>
      <c r="C28" s="13" t="s">
        <v>13</v>
      </c>
      <c r="D28" s="8">
        <v>600</v>
      </c>
      <c r="E28" s="8">
        <v>200</v>
      </c>
      <c r="F28" s="8">
        <v>200</v>
      </c>
      <c r="G28" s="8">
        <v>192</v>
      </c>
      <c r="H28" s="9">
        <v>188</v>
      </c>
    </row>
    <row r="29" spans="1:8" ht="15" customHeight="1" x14ac:dyDescent="0.25">
      <c r="A29" s="4">
        <v>26</v>
      </c>
      <c r="B29" s="5">
        <v>2024</v>
      </c>
      <c r="C29" s="13" t="s">
        <v>14</v>
      </c>
      <c r="D29" s="8">
        <v>470</v>
      </c>
      <c r="E29" s="8">
        <v>150</v>
      </c>
      <c r="F29" s="8">
        <v>150</v>
      </c>
      <c r="G29" s="8">
        <v>143</v>
      </c>
      <c r="H29" s="9">
        <v>140</v>
      </c>
    </row>
    <row r="30" spans="1:8" ht="15" customHeight="1" x14ac:dyDescent="0.25">
      <c r="A30" s="4">
        <v>27</v>
      </c>
      <c r="B30" s="5">
        <v>2024</v>
      </c>
      <c r="C30" s="13" t="s">
        <v>15</v>
      </c>
      <c r="D30" s="8">
        <v>735</v>
      </c>
      <c r="E30" s="8">
        <v>240</v>
      </c>
      <c r="F30" s="8">
        <v>240</v>
      </c>
      <c r="G30" s="8">
        <v>231</v>
      </c>
      <c r="H30" s="9">
        <v>226</v>
      </c>
    </row>
    <row r="31" spans="1:8" ht="15" customHeight="1" x14ac:dyDescent="0.25">
      <c r="A31" s="4">
        <v>28</v>
      </c>
      <c r="B31" s="5">
        <v>2024</v>
      </c>
      <c r="C31" s="13" t="s">
        <v>16</v>
      </c>
      <c r="D31" s="8">
        <v>625</v>
      </c>
      <c r="E31" s="8">
        <v>200</v>
      </c>
      <c r="F31" s="8">
        <v>200</v>
      </c>
      <c r="G31" s="8">
        <v>192</v>
      </c>
      <c r="H31" s="9">
        <v>188</v>
      </c>
    </row>
    <row r="32" spans="1:8" ht="15" customHeight="1" x14ac:dyDescent="0.25">
      <c r="A32" s="4">
        <v>29</v>
      </c>
      <c r="B32" s="5">
        <v>2024</v>
      </c>
      <c r="C32" s="13" t="s">
        <v>17</v>
      </c>
      <c r="D32" s="8">
        <v>385</v>
      </c>
      <c r="E32" s="8">
        <v>125</v>
      </c>
      <c r="F32" s="8">
        <v>125</v>
      </c>
      <c r="G32" s="8">
        <v>119</v>
      </c>
      <c r="H32" s="9">
        <v>116</v>
      </c>
    </row>
    <row r="33" spans="1:8" ht="15" customHeight="1" x14ac:dyDescent="0.25">
      <c r="A33" s="4">
        <v>30</v>
      </c>
      <c r="B33" s="5">
        <v>2024</v>
      </c>
      <c r="C33" s="13" t="s">
        <v>18</v>
      </c>
      <c r="D33" s="8">
        <v>350</v>
      </c>
      <c r="E33" s="8">
        <v>115</v>
      </c>
      <c r="F33" s="8">
        <v>115</v>
      </c>
      <c r="G33" s="8">
        <v>109</v>
      </c>
      <c r="H33" s="9">
        <v>106</v>
      </c>
    </row>
    <row r="34" spans="1:8" ht="15" customHeight="1" x14ac:dyDescent="0.25">
      <c r="A34" s="4">
        <v>31</v>
      </c>
      <c r="B34" s="5">
        <v>2025</v>
      </c>
      <c r="C34" s="13" t="s">
        <v>9</v>
      </c>
      <c r="D34" s="8">
        <v>555</v>
      </c>
      <c r="E34" s="8">
        <v>175</v>
      </c>
      <c r="F34" s="8">
        <v>175</v>
      </c>
      <c r="G34" s="8">
        <v>163</v>
      </c>
      <c r="H34" s="9">
        <v>160</v>
      </c>
    </row>
    <row r="35" spans="1:8" ht="15" customHeight="1" x14ac:dyDescent="0.25">
      <c r="A35" s="4">
        <v>32</v>
      </c>
      <c r="B35" s="5">
        <v>2025</v>
      </c>
      <c r="C35" s="13" t="s">
        <v>10</v>
      </c>
      <c r="D35" s="8">
        <v>570</v>
      </c>
      <c r="E35" s="8">
        <v>165</v>
      </c>
      <c r="F35" s="8">
        <v>165</v>
      </c>
      <c r="G35" s="8">
        <v>160</v>
      </c>
      <c r="H35" s="9">
        <v>156</v>
      </c>
    </row>
    <row r="36" spans="1:8" ht="15" customHeight="1" x14ac:dyDescent="0.25">
      <c r="A36" s="4">
        <v>33</v>
      </c>
      <c r="B36" s="5">
        <v>2025</v>
      </c>
      <c r="C36" s="13" t="s">
        <v>11</v>
      </c>
      <c r="D36" s="8">
        <v>455</v>
      </c>
      <c r="E36" s="8">
        <v>135</v>
      </c>
      <c r="F36" s="8">
        <v>135</v>
      </c>
      <c r="G36" s="8">
        <v>131</v>
      </c>
      <c r="H36" s="9">
        <v>128</v>
      </c>
    </row>
    <row r="37" spans="1:8" x14ac:dyDescent="0.25">
      <c r="A37" s="4">
        <v>34</v>
      </c>
      <c r="B37" s="5">
        <v>2025</v>
      </c>
      <c r="C37" s="13" t="s">
        <v>12</v>
      </c>
      <c r="D37" s="8">
        <v>720</v>
      </c>
      <c r="E37" s="8">
        <v>225</v>
      </c>
      <c r="F37" s="8">
        <v>225</v>
      </c>
      <c r="G37" s="8">
        <v>216</v>
      </c>
      <c r="H37" s="9">
        <v>212</v>
      </c>
    </row>
    <row r="38" spans="1:8" ht="15" customHeight="1" x14ac:dyDescent="0.25">
      <c r="A38" s="4">
        <v>35</v>
      </c>
      <c r="B38" s="5">
        <v>2025</v>
      </c>
      <c r="C38" s="13" t="s">
        <v>13</v>
      </c>
      <c r="D38" s="8">
        <v>650</v>
      </c>
      <c r="E38" s="8">
        <v>200</v>
      </c>
      <c r="F38" s="8">
        <v>200</v>
      </c>
      <c r="G38" s="8">
        <v>188</v>
      </c>
      <c r="H38" s="9">
        <v>184</v>
      </c>
    </row>
    <row r="39" spans="1:8" ht="15" customHeight="1" x14ac:dyDescent="0.25">
      <c r="A39" s="4">
        <v>36</v>
      </c>
      <c r="B39" s="5">
        <v>2025</v>
      </c>
      <c r="C39" s="13" t="s">
        <v>14</v>
      </c>
      <c r="D39" s="8">
        <v>515</v>
      </c>
      <c r="E39" s="8">
        <v>150</v>
      </c>
      <c r="F39" s="8">
        <v>150</v>
      </c>
      <c r="G39" s="8">
        <v>145</v>
      </c>
      <c r="H39" s="9">
        <v>141</v>
      </c>
    </row>
    <row r="40" spans="1:8" ht="15" customHeight="1" x14ac:dyDescent="0.25">
      <c r="A40" s="4">
        <v>37</v>
      </c>
      <c r="B40" s="5">
        <v>2025</v>
      </c>
      <c r="C40" s="13" t="s">
        <v>15</v>
      </c>
      <c r="D40" s="8">
        <v>790</v>
      </c>
      <c r="E40" s="8">
        <v>245</v>
      </c>
      <c r="F40" s="8">
        <v>245</v>
      </c>
      <c r="G40" s="8">
        <v>234</v>
      </c>
      <c r="H40" s="9">
        <v>229</v>
      </c>
    </row>
    <row r="41" spans="1:8" ht="15" customHeight="1" x14ac:dyDescent="0.25">
      <c r="A41" s="4">
        <v>38</v>
      </c>
      <c r="B41" s="5">
        <v>2025</v>
      </c>
      <c r="C41" s="13" t="s">
        <v>16</v>
      </c>
      <c r="D41" s="8">
        <v>690</v>
      </c>
      <c r="E41" s="8">
        <v>205</v>
      </c>
      <c r="F41" s="8">
        <v>205</v>
      </c>
      <c r="G41" s="8">
        <v>196</v>
      </c>
      <c r="H41" s="9">
        <v>192</v>
      </c>
    </row>
    <row r="42" spans="1:8" ht="15" customHeight="1" x14ac:dyDescent="0.25">
      <c r="A42" s="4">
        <v>39</v>
      </c>
      <c r="B42" s="5">
        <v>2025</v>
      </c>
      <c r="C42" s="13" t="s">
        <v>17</v>
      </c>
      <c r="D42" s="8">
        <v>430</v>
      </c>
      <c r="E42" s="8">
        <v>125</v>
      </c>
      <c r="F42" s="8">
        <v>125</v>
      </c>
      <c r="G42" s="8">
        <v>118</v>
      </c>
      <c r="H42" s="9">
        <v>115</v>
      </c>
    </row>
    <row r="43" spans="1:8" ht="15" customHeight="1" x14ac:dyDescent="0.25">
      <c r="A43" s="4">
        <v>40</v>
      </c>
      <c r="B43" s="5">
        <v>2025</v>
      </c>
      <c r="C43" s="13" t="s">
        <v>18</v>
      </c>
      <c r="D43" s="8">
        <v>395</v>
      </c>
      <c r="E43" s="8">
        <v>115</v>
      </c>
      <c r="F43" s="8">
        <v>115</v>
      </c>
      <c r="G43" s="8">
        <v>107</v>
      </c>
      <c r="H43" s="9">
        <v>104</v>
      </c>
    </row>
    <row r="44" spans="1:8" ht="15" customHeight="1" x14ac:dyDescent="0.25">
      <c r="A44" s="4">
        <v>41</v>
      </c>
      <c r="B44" s="5">
        <v>2026</v>
      </c>
      <c r="C44" s="13" t="s">
        <v>9</v>
      </c>
      <c r="D44" s="8">
        <v>720</v>
      </c>
      <c r="E44" s="8">
        <v>190</v>
      </c>
      <c r="F44" s="8">
        <v>190</v>
      </c>
      <c r="G44" s="8">
        <v>181</v>
      </c>
      <c r="H44" s="9">
        <v>178</v>
      </c>
    </row>
    <row r="45" spans="1:8" ht="15" customHeight="1" x14ac:dyDescent="0.25">
      <c r="A45" s="4">
        <v>42</v>
      </c>
      <c r="B45" s="5">
        <v>2026</v>
      </c>
      <c r="C45" s="13" t="s">
        <v>10</v>
      </c>
      <c r="D45" s="8">
        <v>640</v>
      </c>
      <c r="E45" s="8">
        <v>175</v>
      </c>
      <c r="F45" s="8">
        <v>175</v>
      </c>
      <c r="G45" s="8">
        <v>169</v>
      </c>
      <c r="H45" s="9">
        <v>165</v>
      </c>
    </row>
    <row r="46" spans="1:8" ht="15" customHeight="1" x14ac:dyDescent="0.25">
      <c r="A46" s="4">
        <v>43</v>
      </c>
      <c r="B46" s="5">
        <v>2026</v>
      </c>
      <c r="C46" s="13" t="s">
        <v>11</v>
      </c>
      <c r="D46" s="8">
        <v>500</v>
      </c>
      <c r="E46" s="8">
        <v>145</v>
      </c>
      <c r="F46" s="8">
        <v>145</v>
      </c>
      <c r="G46" s="8">
        <v>138</v>
      </c>
      <c r="H46" s="9">
        <v>135</v>
      </c>
    </row>
    <row r="47" spans="1:8" x14ac:dyDescent="0.25">
      <c r="A47" s="4">
        <v>44</v>
      </c>
      <c r="B47" s="5">
        <v>2026</v>
      </c>
      <c r="C47" s="13" t="s">
        <v>12</v>
      </c>
      <c r="D47" s="8">
        <v>780</v>
      </c>
      <c r="E47" s="8">
        <v>230</v>
      </c>
      <c r="F47" s="8">
        <v>230</v>
      </c>
      <c r="G47" s="8">
        <v>221</v>
      </c>
      <c r="H47" s="9">
        <v>216</v>
      </c>
    </row>
    <row r="48" spans="1:8" ht="15" customHeight="1" x14ac:dyDescent="0.25">
      <c r="A48" s="4">
        <v>45</v>
      </c>
      <c r="B48" s="5">
        <v>2026</v>
      </c>
      <c r="C48" s="13" t="s">
        <v>13</v>
      </c>
      <c r="D48" s="8">
        <v>720</v>
      </c>
      <c r="E48" s="8">
        <v>210</v>
      </c>
      <c r="F48" s="8">
        <v>210</v>
      </c>
      <c r="G48" s="8">
        <v>202</v>
      </c>
      <c r="H48" s="9">
        <v>198</v>
      </c>
    </row>
    <row r="49" spans="1:8" ht="15" customHeight="1" x14ac:dyDescent="0.25">
      <c r="A49" s="4">
        <v>46</v>
      </c>
      <c r="B49" s="5">
        <v>2026</v>
      </c>
      <c r="C49" s="13" t="s">
        <v>14</v>
      </c>
      <c r="D49" s="8">
        <v>560</v>
      </c>
      <c r="E49" s="8">
        <v>160</v>
      </c>
      <c r="F49" s="8">
        <v>160</v>
      </c>
      <c r="G49" s="8">
        <v>153</v>
      </c>
      <c r="H49" s="9">
        <v>149</v>
      </c>
    </row>
    <row r="50" spans="1:8" ht="15" customHeight="1" x14ac:dyDescent="0.25">
      <c r="A50" s="4">
        <v>47</v>
      </c>
      <c r="B50" s="5">
        <v>2026</v>
      </c>
      <c r="C50" s="13" t="s">
        <v>15</v>
      </c>
      <c r="D50" s="8">
        <v>875</v>
      </c>
      <c r="E50" s="8">
        <v>255</v>
      </c>
      <c r="F50" s="8">
        <v>255</v>
      </c>
      <c r="G50" s="8">
        <v>245</v>
      </c>
      <c r="H50" s="9">
        <v>240</v>
      </c>
    </row>
    <row r="51" spans="1:8" ht="15" customHeight="1" x14ac:dyDescent="0.25">
      <c r="A51" s="4">
        <v>48</v>
      </c>
      <c r="B51" s="5">
        <v>2026</v>
      </c>
      <c r="C51" s="13" t="s">
        <v>16</v>
      </c>
      <c r="D51" s="8">
        <v>750</v>
      </c>
      <c r="E51" s="8">
        <v>215</v>
      </c>
      <c r="F51" s="8">
        <v>215</v>
      </c>
      <c r="G51" s="8">
        <v>207</v>
      </c>
      <c r="H51" s="9">
        <v>202</v>
      </c>
    </row>
    <row r="52" spans="1:8" ht="15" customHeight="1" x14ac:dyDescent="0.25">
      <c r="A52" s="4">
        <v>49</v>
      </c>
      <c r="B52" s="5">
        <v>2026</v>
      </c>
      <c r="C52" s="13" t="s">
        <v>17</v>
      </c>
      <c r="D52" s="8">
        <v>475</v>
      </c>
      <c r="E52" s="8">
        <v>130</v>
      </c>
      <c r="F52" s="8">
        <v>130</v>
      </c>
      <c r="G52" s="8">
        <v>124</v>
      </c>
      <c r="H52" s="9">
        <v>121</v>
      </c>
    </row>
    <row r="53" spans="1:8" ht="15" customHeight="1" x14ac:dyDescent="0.25">
      <c r="A53" s="6">
        <v>50</v>
      </c>
      <c r="B53" s="7">
        <v>2026</v>
      </c>
      <c r="C53" s="14" t="s">
        <v>18</v>
      </c>
      <c r="D53" s="10">
        <v>440</v>
      </c>
      <c r="E53" s="10">
        <v>120</v>
      </c>
      <c r="F53" s="10">
        <v>120</v>
      </c>
      <c r="G53" s="10">
        <v>114</v>
      </c>
      <c r="H53" s="11">
        <v>111</v>
      </c>
    </row>
  </sheetData>
  <mergeCells count="1">
    <mergeCell ref="A1:H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="115" zoomScaleNormal="115" workbookViewId="0">
      <selection activeCell="C27" sqref="C27"/>
    </sheetView>
  </sheetViews>
  <sheetFormatPr defaultRowHeight="15" x14ac:dyDescent="0.25"/>
  <cols>
    <col min="3" max="3" width="15.28515625" customWidth="1"/>
    <col min="4" max="4" width="11.85546875" customWidth="1"/>
    <col min="5" max="6" width="11.5703125" customWidth="1"/>
    <col min="7" max="7" width="14.42578125" customWidth="1"/>
    <col min="8" max="8" width="16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s="15" customFormat="1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ht="30" x14ac:dyDescent="0.25">
      <c r="A4" s="5">
        <v>5</v>
      </c>
      <c r="B4" s="5">
        <v>2022</v>
      </c>
      <c r="C4" s="13" t="s">
        <v>13</v>
      </c>
      <c r="D4" s="8">
        <v>510</v>
      </c>
      <c r="E4" s="8">
        <v>190</v>
      </c>
      <c r="F4" s="8">
        <v>190</v>
      </c>
      <c r="G4" s="8">
        <v>185</v>
      </c>
      <c r="H4" s="8">
        <v>181</v>
      </c>
    </row>
    <row r="5" spans="1:8" ht="30" x14ac:dyDescent="0.25">
      <c r="A5" s="5">
        <v>15</v>
      </c>
      <c r="B5" s="5">
        <v>2023</v>
      </c>
      <c r="C5" s="13" t="s">
        <v>13</v>
      </c>
      <c r="D5" s="8">
        <v>530</v>
      </c>
      <c r="E5" s="8">
        <v>190</v>
      </c>
      <c r="F5" s="8">
        <v>190</v>
      </c>
      <c r="G5" s="8">
        <v>184</v>
      </c>
      <c r="H5" s="8">
        <v>180</v>
      </c>
    </row>
    <row r="6" spans="1:8" ht="30" x14ac:dyDescent="0.25">
      <c r="A6" s="5">
        <v>25</v>
      </c>
      <c r="B6" s="5">
        <v>2024</v>
      </c>
      <c r="C6" s="13" t="s">
        <v>13</v>
      </c>
      <c r="D6" s="8">
        <v>600</v>
      </c>
      <c r="E6" s="8">
        <v>200</v>
      </c>
      <c r="F6" s="8">
        <v>200</v>
      </c>
      <c r="G6" s="8">
        <v>192</v>
      </c>
      <c r="H6" s="8">
        <v>188</v>
      </c>
    </row>
    <row r="7" spans="1:8" ht="30" x14ac:dyDescent="0.25">
      <c r="A7" s="5">
        <v>35</v>
      </c>
      <c r="B7" s="5">
        <v>2025</v>
      </c>
      <c r="C7" s="13" t="s">
        <v>13</v>
      </c>
      <c r="D7" s="8">
        <v>650</v>
      </c>
      <c r="E7" s="8">
        <v>200</v>
      </c>
      <c r="F7" s="8">
        <v>200</v>
      </c>
      <c r="G7" s="8">
        <v>188</v>
      </c>
      <c r="H7" s="8">
        <v>184</v>
      </c>
    </row>
    <row r="8" spans="1:8" ht="30" x14ac:dyDescent="0.25">
      <c r="A8" s="5">
        <v>45</v>
      </c>
      <c r="B8" s="5">
        <v>2026</v>
      </c>
      <c r="C8" s="13" t="s">
        <v>13</v>
      </c>
      <c r="D8" s="8">
        <v>720</v>
      </c>
      <c r="E8" s="8">
        <v>210</v>
      </c>
      <c r="F8" s="8">
        <v>210</v>
      </c>
      <c r="G8" s="8">
        <v>202</v>
      </c>
      <c r="H8" s="8">
        <v>198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1"/>
    </sheetView>
  </sheetViews>
  <sheetFormatPr defaultRowHeight="15" x14ac:dyDescent="0.25"/>
  <cols>
    <col min="3" max="3" width="11.140625" customWidth="1"/>
    <col min="4" max="4" width="12.42578125" customWidth="1"/>
    <col min="5" max="5" width="10.85546875" customWidth="1"/>
    <col min="6" max="6" width="11.7109375" customWidth="1"/>
    <col min="7" max="7" width="12.5703125" customWidth="1"/>
    <col min="8" max="8" width="15.85546875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s="15" customFormat="1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5">
        <v>7</v>
      </c>
      <c r="B4" s="5">
        <v>2022</v>
      </c>
      <c r="C4" s="13" t="s">
        <v>15</v>
      </c>
      <c r="D4" s="8">
        <v>630</v>
      </c>
      <c r="E4" s="8">
        <v>230</v>
      </c>
      <c r="F4" s="8">
        <v>230</v>
      </c>
      <c r="G4" s="8">
        <v>224</v>
      </c>
      <c r="H4" s="8">
        <v>219</v>
      </c>
    </row>
    <row r="5" spans="1:8" x14ac:dyDescent="0.25">
      <c r="A5" s="5">
        <v>17</v>
      </c>
      <c r="B5" s="5">
        <v>2023</v>
      </c>
      <c r="C5" s="13" t="s">
        <v>15</v>
      </c>
      <c r="D5" s="8">
        <v>665</v>
      </c>
      <c r="E5" s="8">
        <v>230</v>
      </c>
      <c r="F5" s="8">
        <v>230</v>
      </c>
      <c r="G5" s="8">
        <v>218</v>
      </c>
      <c r="H5" s="8">
        <v>213</v>
      </c>
    </row>
    <row r="6" spans="1:8" x14ac:dyDescent="0.25">
      <c r="A6" s="5">
        <v>27</v>
      </c>
      <c r="B6" s="5">
        <v>2024</v>
      </c>
      <c r="C6" s="13" t="s">
        <v>15</v>
      </c>
      <c r="D6" s="8">
        <v>735</v>
      </c>
      <c r="E6" s="8">
        <v>240</v>
      </c>
      <c r="F6" s="8">
        <v>240</v>
      </c>
      <c r="G6" s="8">
        <v>231</v>
      </c>
      <c r="H6" s="8">
        <v>226</v>
      </c>
    </row>
    <row r="7" spans="1:8" x14ac:dyDescent="0.25">
      <c r="A7" s="5">
        <v>37</v>
      </c>
      <c r="B7" s="5">
        <v>2025</v>
      </c>
      <c r="C7" s="13" t="s">
        <v>15</v>
      </c>
      <c r="D7" s="8">
        <v>790</v>
      </c>
      <c r="E7" s="8">
        <v>245</v>
      </c>
      <c r="F7" s="8">
        <v>245</v>
      </c>
      <c r="G7" s="8">
        <v>234</v>
      </c>
      <c r="H7" s="8">
        <v>229</v>
      </c>
    </row>
    <row r="8" spans="1:8" x14ac:dyDescent="0.25">
      <c r="A8" s="5">
        <v>47</v>
      </c>
      <c r="B8" s="5">
        <v>2026</v>
      </c>
      <c r="C8" s="13" t="s">
        <v>15</v>
      </c>
      <c r="D8" s="8">
        <v>875</v>
      </c>
      <c r="E8" s="8">
        <v>255</v>
      </c>
      <c r="F8" s="8">
        <v>255</v>
      </c>
      <c r="G8" s="8">
        <v>245</v>
      </c>
      <c r="H8" s="8">
        <v>240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1"/>
    </sheetView>
  </sheetViews>
  <sheetFormatPr defaultRowHeight="15" x14ac:dyDescent="0.25"/>
  <cols>
    <col min="1" max="1" width="5.7109375" customWidth="1"/>
    <col min="3" max="3" width="18.28515625" customWidth="1"/>
    <col min="4" max="4" width="13.140625" customWidth="1"/>
    <col min="7" max="7" width="13" customWidth="1"/>
    <col min="8" max="8" width="15.85546875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s="15" customFormat="1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5">
        <v>6</v>
      </c>
      <c r="B4" s="5">
        <v>2022</v>
      </c>
      <c r="C4" s="13" t="s">
        <v>14</v>
      </c>
      <c r="D4" s="8">
        <v>395</v>
      </c>
      <c r="E4" s="8">
        <v>140</v>
      </c>
      <c r="F4" s="8">
        <v>140</v>
      </c>
      <c r="G4" s="8">
        <v>136</v>
      </c>
      <c r="H4" s="8">
        <v>133</v>
      </c>
    </row>
    <row r="5" spans="1:8" x14ac:dyDescent="0.25">
      <c r="A5" s="5">
        <v>16</v>
      </c>
      <c r="B5" s="5">
        <v>2023</v>
      </c>
      <c r="C5" s="13" t="s">
        <v>14</v>
      </c>
      <c r="D5" s="8">
        <v>420</v>
      </c>
      <c r="E5" s="8">
        <v>140</v>
      </c>
      <c r="F5" s="8">
        <v>140</v>
      </c>
      <c r="G5" s="8">
        <v>132</v>
      </c>
      <c r="H5" s="8">
        <v>129</v>
      </c>
    </row>
    <row r="6" spans="1:8" x14ac:dyDescent="0.25">
      <c r="A6" s="5">
        <v>26</v>
      </c>
      <c r="B6" s="5">
        <v>2024</v>
      </c>
      <c r="C6" s="13" t="s">
        <v>14</v>
      </c>
      <c r="D6" s="8">
        <v>470</v>
      </c>
      <c r="E6" s="8">
        <v>150</v>
      </c>
      <c r="F6" s="8">
        <v>150</v>
      </c>
      <c r="G6" s="8">
        <v>143</v>
      </c>
      <c r="H6" s="8">
        <v>140</v>
      </c>
    </row>
    <row r="7" spans="1:8" x14ac:dyDescent="0.25">
      <c r="A7" s="5">
        <v>36</v>
      </c>
      <c r="B7" s="5">
        <v>2025</v>
      </c>
      <c r="C7" s="13" t="s">
        <v>14</v>
      </c>
      <c r="D7" s="8">
        <v>515</v>
      </c>
      <c r="E7" s="8">
        <v>150</v>
      </c>
      <c r="F7" s="8">
        <v>150</v>
      </c>
      <c r="G7" s="8">
        <v>145</v>
      </c>
      <c r="H7" s="8">
        <v>141</v>
      </c>
    </row>
    <row r="8" spans="1:8" x14ac:dyDescent="0.25">
      <c r="A8" s="5">
        <v>46</v>
      </c>
      <c r="B8" s="5">
        <v>2026</v>
      </c>
      <c r="C8" s="13" t="s">
        <v>14</v>
      </c>
      <c r="D8" s="8">
        <v>560</v>
      </c>
      <c r="E8" s="8">
        <v>160</v>
      </c>
      <c r="F8" s="8">
        <v>160</v>
      </c>
      <c r="G8" s="8">
        <v>153</v>
      </c>
      <c r="H8" s="8">
        <v>149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N7" sqref="N7"/>
    </sheetView>
  </sheetViews>
  <sheetFormatPr defaultRowHeight="15" x14ac:dyDescent="0.25"/>
  <cols>
    <col min="1" max="1" width="6.5703125" customWidth="1"/>
    <col min="3" max="3" width="13.140625" customWidth="1"/>
    <col min="4" max="4" width="11.42578125" customWidth="1"/>
    <col min="7" max="7" width="14.42578125" customWidth="1"/>
    <col min="8" max="8" width="17.140625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s="15" customFormat="1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s="15" customFormat="1" x14ac:dyDescent="0.25">
      <c r="A4" s="5">
        <v>1</v>
      </c>
      <c r="B4" s="5">
        <v>2022</v>
      </c>
      <c r="C4" s="5" t="s">
        <v>9</v>
      </c>
      <c r="D4" s="8">
        <v>470</v>
      </c>
      <c r="E4" s="8">
        <v>160</v>
      </c>
      <c r="F4" s="8">
        <v>160</v>
      </c>
      <c r="G4" s="8">
        <v>156</v>
      </c>
      <c r="H4" s="8">
        <v>153</v>
      </c>
    </row>
    <row r="5" spans="1:8" s="15" customFormat="1" x14ac:dyDescent="0.25">
      <c r="A5" s="5">
        <v>11</v>
      </c>
      <c r="B5" s="5">
        <v>2023</v>
      </c>
      <c r="C5" s="5" t="s">
        <v>9</v>
      </c>
      <c r="D5" s="8">
        <v>445</v>
      </c>
      <c r="E5" s="8">
        <v>160</v>
      </c>
      <c r="F5" s="8">
        <v>160</v>
      </c>
      <c r="G5" s="8">
        <v>151</v>
      </c>
      <c r="H5" s="8">
        <v>148</v>
      </c>
    </row>
    <row r="6" spans="1:8" s="15" customFormat="1" x14ac:dyDescent="0.25">
      <c r="A6" s="5">
        <v>21</v>
      </c>
      <c r="B6" s="5">
        <v>2024</v>
      </c>
      <c r="C6" s="5" t="s">
        <v>9</v>
      </c>
      <c r="D6" s="8">
        <v>590</v>
      </c>
      <c r="E6" s="8">
        <v>175</v>
      </c>
      <c r="F6" s="8">
        <v>175</v>
      </c>
      <c r="G6" s="8">
        <v>168</v>
      </c>
      <c r="H6" s="8">
        <v>165</v>
      </c>
    </row>
    <row r="7" spans="1:8" s="15" customFormat="1" x14ac:dyDescent="0.25">
      <c r="A7" s="5">
        <v>31</v>
      </c>
      <c r="B7" s="5">
        <v>2025</v>
      </c>
      <c r="C7" s="5" t="s">
        <v>9</v>
      </c>
      <c r="D7" s="8">
        <v>555</v>
      </c>
      <c r="E7" s="8">
        <v>175</v>
      </c>
      <c r="F7" s="8">
        <v>175</v>
      </c>
      <c r="G7" s="8">
        <v>163</v>
      </c>
      <c r="H7" s="8">
        <v>160</v>
      </c>
    </row>
    <row r="8" spans="1:8" s="15" customFormat="1" x14ac:dyDescent="0.25">
      <c r="A8" s="5">
        <v>41</v>
      </c>
      <c r="B8" s="5">
        <v>2026</v>
      </c>
      <c r="C8" s="5" t="s">
        <v>9</v>
      </c>
      <c r="D8" s="8">
        <v>720</v>
      </c>
      <c r="E8" s="8">
        <v>190</v>
      </c>
      <c r="F8" s="8">
        <v>190</v>
      </c>
      <c r="G8" s="8">
        <v>181</v>
      </c>
      <c r="H8" s="8">
        <v>178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1"/>
    </sheetView>
  </sheetViews>
  <sheetFormatPr defaultRowHeight="15" x14ac:dyDescent="0.25"/>
  <cols>
    <col min="1" max="1" width="6.140625" customWidth="1"/>
    <col min="3" max="3" width="14.7109375" customWidth="1"/>
    <col min="4" max="4" width="13.140625" customWidth="1"/>
    <col min="5" max="5" width="11" customWidth="1"/>
    <col min="7" max="7" width="12.85546875" customWidth="1"/>
    <col min="8" max="8" width="16.28515625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s="15" customFormat="1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s="15" customFormat="1" x14ac:dyDescent="0.25">
      <c r="A4" s="5">
        <v>4</v>
      </c>
      <c r="B4" s="5">
        <v>2022</v>
      </c>
      <c r="C4" s="5" t="s">
        <v>12</v>
      </c>
      <c r="D4" s="8">
        <v>570</v>
      </c>
      <c r="E4" s="8">
        <v>210</v>
      </c>
      <c r="F4" s="8">
        <v>210</v>
      </c>
      <c r="G4" s="8">
        <v>204</v>
      </c>
      <c r="H4" s="8">
        <v>200</v>
      </c>
    </row>
    <row r="5" spans="1:8" s="15" customFormat="1" x14ac:dyDescent="0.25">
      <c r="A5" s="5">
        <v>14</v>
      </c>
      <c r="B5" s="5">
        <v>2023</v>
      </c>
      <c r="C5" s="5" t="s">
        <v>12</v>
      </c>
      <c r="D5" s="8">
        <v>545</v>
      </c>
      <c r="E5" s="8">
        <v>210</v>
      </c>
      <c r="F5" s="8">
        <v>210</v>
      </c>
      <c r="G5" s="8">
        <v>199</v>
      </c>
      <c r="H5" s="8">
        <v>195</v>
      </c>
    </row>
    <row r="6" spans="1:8" s="15" customFormat="1" x14ac:dyDescent="0.25">
      <c r="A6" s="5">
        <v>24</v>
      </c>
      <c r="B6" s="5">
        <v>2024</v>
      </c>
      <c r="C6" s="5" t="s">
        <v>12</v>
      </c>
      <c r="D6" s="8">
        <v>675</v>
      </c>
      <c r="E6" s="8">
        <v>220</v>
      </c>
      <c r="F6" s="8">
        <v>220</v>
      </c>
      <c r="G6" s="8">
        <v>211</v>
      </c>
      <c r="H6" s="8">
        <v>207</v>
      </c>
    </row>
    <row r="7" spans="1:8" s="15" customFormat="1" x14ac:dyDescent="0.25">
      <c r="A7" s="5">
        <v>34</v>
      </c>
      <c r="B7" s="5">
        <v>2025</v>
      </c>
      <c r="C7" s="5" t="s">
        <v>12</v>
      </c>
      <c r="D7" s="8">
        <v>720</v>
      </c>
      <c r="E7" s="8">
        <v>225</v>
      </c>
      <c r="F7" s="8">
        <v>225</v>
      </c>
      <c r="G7" s="8">
        <v>216</v>
      </c>
      <c r="H7" s="8">
        <v>212</v>
      </c>
    </row>
    <row r="8" spans="1:8" s="15" customFormat="1" x14ac:dyDescent="0.25">
      <c r="A8" s="5">
        <v>44</v>
      </c>
      <c r="B8" s="5">
        <v>2026</v>
      </c>
      <c r="C8" s="5" t="s">
        <v>12</v>
      </c>
      <c r="D8" s="8">
        <v>780</v>
      </c>
      <c r="E8" s="8">
        <v>230</v>
      </c>
      <c r="F8" s="8">
        <v>230</v>
      </c>
      <c r="G8" s="8">
        <v>221</v>
      </c>
      <c r="H8" s="8">
        <v>216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1"/>
    </sheetView>
  </sheetViews>
  <sheetFormatPr defaultRowHeight="15" x14ac:dyDescent="0.25"/>
  <cols>
    <col min="1" max="1" width="6.28515625" customWidth="1"/>
    <col min="3" max="3" width="12.7109375" customWidth="1"/>
    <col min="4" max="4" width="14.42578125" customWidth="1"/>
    <col min="5" max="5" width="11.7109375" customWidth="1"/>
    <col min="7" max="7" width="14.140625" customWidth="1"/>
    <col min="8" max="8" width="17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s="15" customFormat="1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5">
        <v>8</v>
      </c>
      <c r="B4" s="5">
        <v>2022</v>
      </c>
      <c r="C4" s="13" t="s">
        <v>16</v>
      </c>
      <c r="D4" s="8">
        <v>540</v>
      </c>
      <c r="E4" s="8">
        <v>190</v>
      </c>
      <c r="F4" s="8">
        <v>190</v>
      </c>
      <c r="G4" s="8">
        <v>185</v>
      </c>
      <c r="H4" s="8">
        <v>181</v>
      </c>
    </row>
    <row r="5" spans="1:8" x14ac:dyDescent="0.25">
      <c r="A5" s="5">
        <v>18</v>
      </c>
      <c r="B5" s="5">
        <v>2023</v>
      </c>
      <c r="C5" s="13" t="s">
        <v>16</v>
      </c>
      <c r="D5" s="8">
        <v>565</v>
      </c>
      <c r="E5" s="8">
        <v>190</v>
      </c>
      <c r="F5" s="8">
        <v>190</v>
      </c>
      <c r="G5" s="8">
        <v>181</v>
      </c>
      <c r="H5" s="8">
        <v>177</v>
      </c>
    </row>
    <row r="6" spans="1:8" x14ac:dyDescent="0.25">
      <c r="A6" s="5">
        <v>28</v>
      </c>
      <c r="B6" s="5">
        <v>2024</v>
      </c>
      <c r="C6" s="13" t="s">
        <v>16</v>
      </c>
      <c r="D6" s="8">
        <v>625</v>
      </c>
      <c r="E6" s="8">
        <v>200</v>
      </c>
      <c r="F6" s="8">
        <v>200</v>
      </c>
      <c r="G6" s="8">
        <v>192</v>
      </c>
      <c r="H6" s="8">
        <v>188</v>
      </c>
    </row>
    <row r="7" spans="1:8" x14ac:dyDescent="0.25">
      <c r="A7" s="5">
        <v>38</v>
      </c>
      <c r="B7" s="5">
        <v>2025</v>
      </c>
      <c r="C7" s="13" t="s">
        <v>16</v>
      </c>
      <c r="D7" s="8">
        <v>690</v>
      </c>
      <c r="E7" s="8">
        <v>205</v>
      </c>
      <c r="F7" s="8">
        <v>205</v>
      </c>
      <c r="G7" s="8">
        <v>196</v>
      </c>
      <c r="H7" s="8">
        <v>192</v>
      </c>
    </row>
    <row r="8" spans="1:8" x14ac:dyDescent="0.25">
      <c r="A8" s="5">
        <v>48</v>
      </c>
      <c r="B8" s="5">
        <v>2026</v>
      </c>
      <c r="C8" s="13" t="s">
        <v>16</v>
      </c>
      <c r="D8" s="8">
        <v>750</v>
      </c>
      <c r="E8" s="8">
        <v>215</v>
      </c>
      <c r="F8" s="8">
        <v>215</v>
      </c>
      <c r="G8" s="8">
        <v>207</v>
      </c>
      <c r="H8" s="8">
        <v>202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1"/>
    </sheetView>
  </sheetViews>
  <sheetFormatPr defaultRowHeight="15" x14ac:dyDescent="0.25"/>
  <cols>
    <col min="1" max="1" width="6.28515625" customWidth="1"/>
    <col min="3" max="3" width="19.140625" customWidth="1"/>
    <col min="4" max="4" width="11.42578125" customWidth="1"/>
    <col min="5" max="5" width="10.85546875" customWidth="1"/>
    <col min="7" max="7" width="13.7109375" customWidth="1"/>
    <col min="8" max="8" width="15.85546875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5">
        <v>2</v>
      </c>
      <c r="B4" s="5">
        <v>2022</v>
      </c>
      <c r="C4" s="13" t="s">
        <v>10</v>
      </c>
      <c r="D4" s="8">
        <v>425</v>
      </c>
      <c r="E4" s="8">
        <v>150</v>
      </c>
      <c r="F4" s="8">
        <v>150</v>
      </c>
      <c r="G4" s="8">
        <v>146</v>
      </c>
      <c r="H4" s="8">
        <v>143</v>
      </c>
    </row>
    <row r="5" spans="1:8" x14ac:dyDescent="0.25">
      <c r="A5" s="5">
        <v>12</v>
      </c>
      <c r="B5" s="5">
        <v>2023</v>
      </c>
      <c r="C5" s="13" t="s">
        <v>10</v>
      </c>
      <c r="D5" s="8">
        <v>455</v>
      </c>
      <c r="E5" s="8">
        <v>150</v>
      </c>
      <c r="F5" s="8">
        <v>150</v>
      </c>
      <c r="G5" s="8">
        <v>143</v>
      </c>
      <c r="H5" s="8">
        <v>140</v>
      </c>
    </row>
    <row r="6" spans="1:8" x14ac:dyDescent="0.25">
      <c r="A6" s="5">
        <v>22</v>
      </c>
      <c r="B6" s="5">
        <v>2024</v>
      </c>
      <c r="C6" s="13" t="s">
        <v>10</v>
      </c>
      <c r="D6" s="8">
        <v>520</v>
      </c>
      <c r="E6" s="8">
        <v>165</v>
      </c>
      <c r="F6" s="8">
        <v>165</v>
      </c>
      <c r="G6" s="8">
        <v>158</v>
      </c>
      <c r="H6" s="8">
        <v>154</v>
      </c>
    </row>
    <row r="7" spans="1:8" x14ac:dyDescent="0.25">
      <c r="A7" s="5">
        <v>32</v>
      </c>
      <c r="B7" s="5">
        <v>2025</v>
      </c>
      <c r="C7" s="13" t="s">
        <v>10</v>
      </c>
      <c r="D7" s="8">
        <v>570</v>
      </c>
      <c r="E7" s="8">
        <v>165</v>
      </c>
      <c r="F7" s="8">
        <v>165</v>
      </c>
      <c r="G7" s="8">
        <v>160</v>
      </c>
      <c r="H7" s="8">
        <v>156</v>
      </c>
    </row>
    <row r="8" spans="1:8" x14ac:dyDescent="0.25">
      <c r="A8" s="5">
        <v>42</v>
      </c>
      <c r="B8" s="5">
        <v>2026</v>
      </c>
      <c r="C8" s="13" t="s">
        <v>10</v>
      </c>
      <c r="D8" s="8">
        <v>640</v>
      </c>
      <c r="E8" s="8">
        <v>175</v>
      </c>
      <c r="F8" s="8">
        <v>175</v>
      </c>
      <c r="G8" s="8">
        <v>169</v>
      </c>
      <c r="H8" s="8">
        <v>165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1"/>
    </sheetView>
  </sheetViews>
  <sheetFormatPr defaultRowHeight="15" x14ac:dyDescent="0.25"/>
  <cols>
    <col min="1" max="1" width="5.5703125" customWidth="1"/>
    <col min="3" max="3" width="16.140625" customWidth="1"/>
    <col min="4" max="4" width="13.28515625" customWidth="1"/>
    <col min="5" max="5" width="10.85546875" customWidth="1"/>
    <col min="7" max="7" width="13.85546875" customWidth="1"/>
    <col min="8" max="8" width="16.140625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5">
        <v>3</v>
      </c>
      <c r="B4" s="5">
        <v>2022</v>
      </c>
      <c r="C4" s="13" t="s">
        <v>11</v>
      </c>
      <c r="D4" s="8">
        <v>350</v>
      </c>
      <c r="E4" s="8">
        <v>125</v>
      </c>
      <c r="F4" s="8">
        <v>125</v>
      </c>
      <c r="G4" s="8">
        <v>121</v>
      </c>
      <c r="H4" s="8">
        <v>118</v>
      </c>
    </row>
    <row r="5" spans="1:8" x14ac:dyDescent="0.25">
      <c r="A5" s="5">
        <v>13</v>
      </c>
      <c r="B5" s="5">
        <v>2023</v>
      </c>
      <c r="C5" s="13" t="s">
        <v>11</v>
      </c>
      <c r="D5" s="8">
        <v>375</v>
      </c>
      <c r="E5" s="8">
        <v>125</v>
      </c>
      <c r="F5" s="8">
        <v>125</v>
      </c>
      <c r="G5" s="8">
        <v>119</v>
      </c>
      <c r="H5" s="8">
        <v>116</v>
      </c>
    </row>
    <row r="6" spans="1:8" x14ac:dyDescent="0.25">
      <c r="A6" s="5">
        <v>23</v>
      </c>
      <c r="B6" s="5">
        <v>2024</v>
      </c>
      <c r="C6" s="13" t="s">
        <v>11</v>
      </c>
      <c r="D6" s="8">
        <v>410</v>
      </c>
      <c r="E6" s="8">
        <v>135</v>
      </c>
      <c r="F6" s="8">
        <v>135</v>
      </c>
      <c r="G6" s="8">
        <v>129</v>
      </c>
      <c r="H6" s="8">
        <v>126</v>
      </c>
    </row>
    <row r="7" spans="1:8" x14ac:dyDescent="0.25">
      <c r="A7" s="5">
        <v>33</v>
      </c>
      <c r="B7" s="5">
        <v>2025</v>
      </c>
      <c r="C7" s="13" t="s">
        <v>11</v>
      </c>
      <c r="D7" s="8">
        <v>455</v>
      </c>
      <c r="E7" s="8">
        <v>135</v>
      </c>
      <c r="F7" s="8">
        <v>135</v>
      </c>
      <c r="G7" s="8">
        <v>131</v>
      </c>
      <c r="H7" s="8">
        <v>128</v>
      </c>
    </row>
    <row r="8" spans="1:8" x14ac:dyDescent="0.25">
      <c r="A8" s="5">
        <v>43</v>
      </c>
      <c r="B8" s="5">
        <v>2026</v>
      </c>
      <c r="C8" s="13" t="s">
        <v>11</v>
      </c>
      <c r="D8" s="8">
        <v>500</v>
      </c>
      <c r="E8" s="8">
        <v>145</v>
      </c>
      <c r="F8" s="8">
        <v>145</v>
      </c>
      <c r="G8" s="8">
        <v>138</v>
      </c>
      <c r="H8" s="8">
        <v>135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1"/>
    </sheetView>
  </sheetViews>
  <sheetFormatPr defaultRowHeight="15" x14ac:dyDescent="0.25"/>
  <cols>
    <col min="1" max="1" width="6.42578125" customWidth="1"/>
    <col min="3" max="3" width="14.5703125" customWidth="1"/>
    <col min="4" max="4" width="12" customWidth="1"/>
    <col min="7" max="7" width="16.140625" customWidth="1"/>
    <col min="8" max="8" width="18.5703125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5">
        <v>10</v>
      </c>
      <c r="B4" s="5">
        <v>2022</v>
      </c>
      <c r="C4" s="13" t="s">
        <v>18</v>
      </c>
      <c r="D4" s="8">
        <v>295</v>
      </c>
      <c r="E4" s="8">
        <v>105</v>
      </c>
      <c r="F4" s="8">
        <v>105</v>
      </c>
      <c r="G4" s="8">
        <v>101</v>
      </c>
      <c r="H4" s="8">
        <v>98</v>
      </c>
    </row>
    <row r="5" spans="1:8" x14ac:dyDescent="0.25">
      <c r="A5" s="5">
        <v>20</v>
      </c>
      <c r="B5" s="5">
        <v>2023</v>
      </c>
      <c r="C5" s="13" t="s">
        <v>18</v>
      </c>
      <c r="D5" s="8">
        <v>310</v>
      </c>
      <c r="E5" s="8">
        <v>105</v>
      </c>
      <c r="F5" s="8">
        <v>105</v>
      </c>
      <c r="G5" s="8">
        <v>100</v>
      </c>
      <c r="H5" s="8">
        <v>97</v>
      </c>
    </row>
    <row r="6" spans="1:8" x14ac:dyDescent="0.25">
      <c r="A6" s="5">
        <v>30</v>
      </c>
      <c r="B6" s="5">
        <v>2024</v>
      </c>
      <c r="C6" s="13" t="s">
        <v>18</v>
      </c>
      <c r="D6" s="8">
        <v>350</v>
      </c>
      <c r="E6" s="8">
        <v>115</v>
      </c>
      <c r="F6" s="8">
        <v>115</v>
      </c>
      <c r="G6" s="8">
        <v>109</v>
      </c>
      <c r="H6" s="8">
        <v>106</v>
      </c>
    </row>
    <row r="7" spans="1:8" x14ac:dyDescent="0.25">
      <c r="A7" s="5">
        <v>40</v>
      </c>
      <c r="B7" s="5">
        <v>2025</v>
      </c>
      <c r="C7" s="13" t="s">
        <v>18</v>
      </c>
      <c r="D7" s="8">
        <v>395</v>
      </c>
      <c r="E7" s="8">
        <v>115</v>
      </c>
      <c r="F7" s="8">
        <v>115</v>
      </c>
      <c r="G7" s="8">
        <v>107</v>
      </c>
      <c r="H7" s="8">
        <v>104</v>
      </c>
    </row>
    <row r="8" spans="1:8" x14ac:dyDescent="0.25">
      <c r="A8" s="5">
        <v>50</v>
      </c>
      <c r="B8" s="5">
        <v>2026</v>
      </c>
      <c r="C8" s="13" t="s">
        <v>18</v>
      </c>
      <c r="D8" s="8">
        <v>440</v>
      </c>
      <c r="E8" s="8">
        <v>120</v>
      </c>
      <c r="F8" s="8">
        <v>120</v>
      </c>
      <c r="G8" s="8">
        <v>114</v>
      </c>
      <c r="H8" s="8">
        <v>111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L6" sqref="L6"/>
    </sheetView>
  </sheetViews>
  <sheetFormatPr defaultRowHeight="15" x14ac:dyDescent="0.25"/>
  <cols>
    <col min="1" max="1" width="4.85546875" customWidth="1"/>
    <col min="3" max="3" width="18.42578125" customWidth="1"/>
    <col min="4" max="4" width="11.5703125" customWidth="1"/>
    <col min="7" max="7" width="15" customWidth="1"/>
    <col min="8" max="8" width="18.7109375" customWidth="1"/>
  </cols>
  <sheetData>
    <row r="1" spans="1:8" ht="19.5" x14ac:dyDescent="0.4">
      <c r="A1" s="20" t="s">
        <v>0</v>
      </c>
      <c r="B1" s="20"/>
      <c r="C1" s="20"/>
      <c r="D1" s="20"/>
      <c r="E1" s="20"/>
      <c r="F1" s="20"/>
      <c r="G1" s="20"/>
      <c r="H1" s="20"/>
    </row>
    <row r="3" spans="1:8" ht="30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</row>
    <row r="4" spans="1:8" x14ac:dyDescent="0.25">
      <c r="A4" s="5">
        <v>9</v>
      </c>
      <c r="B4" s="5">
        <v>2022</v>
      </c>
      <c r="C4" s="13" t="s">
        <v>17</v>
      </c>
      <c r="D4" s="8">
        <v>325</v>
      </c>
      <c r="E4" s="8">
        <v>115</v>
      </c>
      <c r="F4" s="8">
        <v>115</v>
      </c>
      <c r="G4" s="8">
        <v>111</v>
      </c>
      <c r="H4" s="8">
        <v>108</v>
      </c>
    </row>
    <row r="5" spans="1:8" x14ac:dyDescent="0.25">
      <c r="A5" s="5">
        <v>19</v>
      </c>
      <c r="B5" s="5">
        <v>2023</v>
      </c>
      <c r="C5" s="13" t="s">
        <v>17</v>
      </c>
      <c r="D5" s="8">
        <v>345</v>
      </c>
      <c r="E5" s="8">
        <v>115</v>
      </c>
      <c r="F5" s="8">
        <v>115</v>
      </c>
      <c r="G5" s="8">
        <v>109</v>
      </c>
      <c r="H5" s="8">
        <v>106</v>
      </c>
    </row>
    <row r="6" spans="1:8" x14ac:dyDescent="0.25">
      <c r="A6" s="5">
        <v>29</v>
      </c>
      <c r="B6" s="5">
        <v>2024</v>
      </c>
      <c r="C6" s="13" t="s">
        <v>17</v>
      </c>
      <c r="D6" s="8">
        <v>385</v>
      </c>
      <c r="E6" s="8">
        <v>125</v>
      </c>
      <c r="F6" s="8">
        <v>125</v>
      </c>
      <c r="G6" s="8">
        <v>119</v>
      </c>
      <c r="H6" s="8">
        <v>116</v>
      </c>
    </row>
    <row r="7" spans="1:8" x14ac:dyDescent="0.25">
      <c r="A7" s="5">
        <v>39</v>
      </c>
      <c r="B7" s="5">
        <v>2025</v>
      </c>
      <c r="C7" s="13" t="s">
        <v>17</v>
      </c>
      <c r="D7" s="8">
        <v>430</v>
      </c>
      <c r="E7" s="8">
        <v>125</v>
      </c>
      <c r="F7" s="8">
        <v>125</v>
      </c>
      <c r="G7" s="8">
        <v>118</v>
      </c>
      <c r="H7" s="8">
        <v>115</v>
      </c>
    </row>
    <row r="8" spans="1:8" x14ac:dyDescent="0.25">
      <c r="A8" s="5">
        <v>49</v>
      </c>
      <c r="B8" s="5">
        <v>2026</v>
      </c>
      <c r="C8" s="13" t="s">
        <v>17</v>
      </c>
      <c r="D8" s="8">
        <v>475</v>
      </c>
      <c r="E8" s="8">
        <v>130</v>
      </c>
      <c r="F8" s="8">
        <v>130</v>
      </c>
      <c r="G8" s="8">
        <v>124</v>
      </c>
      <c r="H8" s="8">
        <v>121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2022-2026</vt:lpstr>
      <vt:lpstr>Akuntansi</vt:lpstr>
      <vt:lpstr>Hukum</vt:lpstr>
      <vt:lpstr>Ilkom</vt:lpstr>
      <vt:lpstr>Infor</vt:lpstr>
      <vt:lpstr>Manajemen</vt:lpstr>
      <vt:lpstr>Psi</vt:lpstr>
      <vt:lpstr>SI</vt:lpstr>
      <vt:lpstr>TEKIN</vt:lpstr>
      <vt:lpstr>TEKMES</vt:lpstr>
      <vt:lpstr>TEKSIP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2026-09-26T06:58:11Z</dcterms:created>
  <dcterms:modified xsi:type="dcterms:W3CDTF">2026-09-26T08:45:49Z</dcterms:modified>
</cp:coreProperties>
</file>